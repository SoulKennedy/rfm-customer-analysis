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LOOMS-user\Documents\"/>
    </mc:Choice>
  </mc:AlternateContent>
  <xr:revisionPtr revIDLastSave="0" documentId="13_ncr:1_{53A0DFF4-BB1A-42CC-A673-93214D896A2F}" xr6:coauthVersionLast="47" xr6:coauthVersionMax="47" xr10:uidLastSave="{00000000-0000-0000-0000-000000000000}"/>
  <bookViews>
    <workbookView xWindow="-110" yWindow="-110" windowWidth="19420" windowHeight="10300" tabRatio="678" activeTab="4" xr2:uid="{00000000-000D-0000-FFFF-FFFF00000000}"/>
  </bookViews>
  <sheets>
    <sheet name="print_shop_orders" sheetId="1" r:id="rId1"/>
    <sheet name="Business Quest" sheetId="4" r:id="rId2"/>
    <sheet name="table" sheetId="3" r:id="rId3"/>
    <sheet name="pivot1" sheetId="2" r:id="rId4"/>
    <sheet name="pivot2" sheetId="5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2" i="5" l="1"/>
  <c r="D312" i="5"/>
  <c r="E312" i="5" s="1"/>
  <c r="F311" i="5"/>
  <c r="D311" i="5"/>
  <c r="E311" i="5" s="1"/>
  <c r="F310" i="5"/>
  <c r="D310" i="5"/>
  <c r="E310" i="5" s="1"/>
  <c r="F309" i="5"/>
  <c r="D309" i="5"/>
  <c r="E309" i="5" s="1"/>
  <c r="F308" i="5"/>
  <c r="D308" i="5"/>
  <c r="E308" i="5" s="1"/>
  <c r="F307" i="5"/>
  <c r="D307" i="5"/>
  <c r="E307" i="5" s="1"/>
  <c r="F306" i="5"/>
  <c r="D306" i="5"/>
  <c r="E306" i="5" s="1"/>
  <c r="F305" i="5"/>
  <c r="D305" i="5"/>
  <c r="E305" i="5" s="1"/>
  <c r="F304" i="5"/>
  <c r="D304" i="5"/>
  <c r="E304" i="5" s="1"/>
  <c r="F303" i="5"/>
  <c r="D303" i="5"/>
  <c r="E303" i="5" s="1"/>
  <c r="F302" i="5"/>
  <c r="D302" i="5"/>
  <c r="E302" i="5" s="1"/>
  <c r="F301" i="5"/>
  <c r="D301" i="5"/>
  <c r="E301" i="5" s="1"/>
  <c r="F300" i="5"/>
  <c r="D300" i="5"/>
  <c r="E300" i="5" s="1"/>
  <c r="F299" i="5"/>
  <c r="D299" i="5"/>
  <c r="E299" i="5" s="1"/>
  <c r="F298" i="5"/>
  <c r="D298" i="5"/>
  <c r="E298" i="5" s="1"/>
  <c r="F297" i="5"/>
  <c r="D297" i="5"/>
  <c r="E297" i="5" s="1"/>
  <c r="F296" i="5"/>
  <c r="D296" i="5"/>
  <c r="E296" i="5" s="1"/>
  <c r="F295" i="5"/>
  <c r="D295" i="5"/>
  <c r="E295" i="5" s="1"/>
  <c r="F294" i="5"/>
  <c r="D294" i="5"/>
  <c r="E294" i="5" s="1"/>
  <c r="F293" i="5"/>
  <c r="D293" i="5"/>
  <c r="E293" i="5" s="1"/>
  <c r="F292" i="5"/>
  <c r="D292" i="5"/>
  <c r="E292" i="5" s="1"/>
  <c r="F291" i="5"/>
  <c r="D291" i="5"/>
  <c r="E291" i="5" s="1"/>
  <c r="F290" i="5"/>
  <c r="D290" i="5"/>
  <c r="E290" i="5" s="1"/>
  <c r="F289" i="5"/>
  <c r="D289" i="5"/>
  <c r="E289" i="5" s="1"/>
  <c r="F288" i="5"/>
  <c r="D288" i="5"/>
  <c r="E288" i="5" s="1"/>
  <c r="F287" i="5"/>
  <c r="D287" i="5"/>
  <c r="E287" i="5" s="1"/>
  <c r="F286" i="5"/>
  <c r="D286" i="5"/>
  <c r="E286" i="5" s="1"/>
  <c r="F285" i="5"/>
  <c r="D285" i="5"/>
  <c r="E285" i="5" s="1"/>
  <c r="F284" i="5"/>
  <c r="D284" i="5"/>
  <c r="E284" i="5" s="1"/>
  <c r="F283" i="5"/>
  <c r="D283" i="5"/>
  <c r="E283" i="5" s="1"/>
  <c r="F282" i="5"/>
  <c r="D282" i="5"/>
  <c r="E282" i="5" s="1"/>
  <c r="F281" i="5"/>
  <c r="D281" i="5"/>
  <c r="E281" i="5" s="1"/>
  <c r="F280" i="5"/>
  <c r="D280" i="5"/>
  <c r="E280" i="5" s="1"/>
  <c r="F279" i="5"/>
  <c r="D279" i="5"/>
  <c r="E279" i="5" s="1"/>
  <c r="F278" i="5"/>
  <c r="D278" i="5"/>
  <c r="E278" i="5" s="1"/>
  <c r="F277" i="5"/>
  <c r="D277" i="5"/>
  <c r="E277" i="5" s="1"/>
  <c r="F276" i="5"/>
  <c r="D276" i="5"/>
  <c r="E276" i="5" s="1"/>
  <c r="F275" i="5"/>
  <c r="D275" i="5"/>
  <c r="E275" i="5" s="1"/>
  <c r="F274" i="5"/>
  <c r="D274" i="5"/>
  <c r="E274" i="5" s="1"/>
  <c r="F273" i="5"/>
  <c r="D273" i="5"/>
  <c r="E273" i="5" s="1"/>
  <c r="F272" i="5"/>
  <c r="D272" i="5"/>
  <c r="E272" i="5" s="1"/>
  <c r="F271" i="5"/>
  <c r="D271" i="5"/>
  <c r="E271" i="5" s="1"/>
  <c r="F270" i="5"/>
  <c r="D270" i="5"/>
  <c r="E270" i="5" s="1"/>
  <c r="F269" i="5"/>
  <c r="D269" i="5"/>
  <c r="E269" i="5" s="1"/>
  <c r="F268" i="5"/>
  <c r="D268" i="5"/>
  <c r="E268" i="5" s="1"/>
  <c r="F267" i="5"/>
  <c r="D267" i="5"/>
  <c r="E267" i="5" s="1"/>
  <c r="F266" i="5"/>
  <c r="D266" i="5"/>
  <c r="E266" i="5" s="1"/>
  <c r="F265" i="5"/>
  <c r="D265" i="5"/>
  <c r="E265" i="5" s="1"/>
  <c r="F264" i="5"/>
  <c r="D264" i="5"/>
  <c r="E264" i="5" s="1"/>
  <c r="F263" i="5"/>
  <c r="D263" i="5"/>
  <c r="E263" i="5" s="1"/>
  <c r="F262" i="5"/>
  <c r="D262" i="5"/>
  <c r="E262" i="5" s="1"/>
  <c r="F261" i="5"/>
  <c r="D261" i="5"/>
  <c r="E261" i="5" s="1"/>
  <c r="F260" i="5"/>
  <c r="D260" i="5"/>
  <c r="E260" i="5" s="1"/>
  <c r="F259" i="5"/>
  <c r="D259" i="5"/>
  <c r="E259" i="5" s="1"/>
  <c r="F258" i="5"/>
  <c r="D258" i="5"/>
  <c r="E258" i="5" s="1"/>
  <c r="F257" i="5"/>
  <c r="D257" i="5"/>
  <c r="E257" i="5" s="1"/>
  <c r="F256" i="5"/>
  <c r="D256" i="5"/>
  <c r="E256" i="5" s="1"/>
  <c r="F255" i="5"/>
  <c r="D255" i="5"/>
  <c r="E255" i="5" s="1"/>
  <c r="F254" i="5"/>
  <c r="D254" i="5"/>
  <c r="E254" i="5" s="1"/>
  <c r="F253" i="5"/>
  <c r="D253" i="5"/>
  <c r="E253" i="5" s="1"/>
  <c r="F252" i="5"/>
  <c r="D252" i="5"/>
  <c r="E252" i="5" s="1"/>
  <c r="F251" i="5"/>
  <c r="D251" i="5"/>
  <c r="E251" i="5" s="1"/>
  <c r="F250" i="5"/>
  <c r="D250" i="5"/>
  <c r="E250" i="5" s="1"/>
  <c r="F249" i="5"/>
  <c r="D249" i="5"/>
  <c r="E249" i="5" s="1"/>
  <c r="F248" i="5"/>
  <c r="D248" i="5"/>
  <c r="E248" i="5" s="1"/>
  <c r="F247" i="5"/>
  <c r="E247" i="5"/>
  <c r="D247" i="5"/>
  <c r="F246" i="5"/>
  <c r="D246" i="5"/>
  <c r="E246" i="5" s="1"/>
  <c r="F245" i="5"/>
  <c r="D245" i="5"/>
  <c r="E245" i="5" s="1"/>
  <c r="F244" i="5"/>
  <c r="D244" i="5"/>
  <c r="E244" i="5" s="1"/>
  <c r="F243" i="5"/>
  <c r="D243" i="5"/>
  <c r="E243" i="5" s="1"/>
  <c r="F242" i="5"/>
  <c r="D242" i="5"/>
  <c r="E242" i="5" s="1"/>
  <c r="F241" i="5"/>
  <c r="D241" i="5"/>
  <c r="E241" i="5" s="1"/>
  <c r="F240" i="5"/>
  <c r="D240" i="5"/>
  <c r="E240" i="5" s="1"/>
  <c r="F239" i="5"/>
  <c r="D239" i="5"/>
  <c r="E239" i="5" s="1"/>
  <c r="F238" i="5"/>
  <c r="D238" i="5"/>
  <c r="E238" i="5" s="1"/>
  <c r="F237" i="5"/>
  <c r="D237" i="5"/>
  <c r="E237" i="5" s="1"/>
  <c r="F236" i="5"/>
  <c r="D236" i="5"/>
  <c r="E236" i="5" s="1"/>
  <c r="F235" i="5"/>
  <c r="D235" i="5"/>
  <c r="E235" i="5" s="1"/>
  <c r="F234" i="5"/>
  <c r="D234" i="5"/>
  <c r="E234" i="5" s="1"/>
  <c r="F233" i="5"/>
  <c r="D233" i="5"/>
  <c r="E233" i="5" s="1"/>
  <c r="F232" i="5"/>
  <c r="D232" i="5"/>
  <c r="E232" i="5" s="1"/>
  <c r="F231" i="5"/>
  <c r="D231" i="5"/>
  <c r="E231" i="5" s="1"/>
  <c r="F230" i="5"/>
  <c r="D230" i="5"/>
  <c r="E230" i="5" s="1"/>
  <c r="F229" i="5"/>
  <c r="D229" i="5"/>
  <c r="E229" i="5" s="1"/>
  <c r="F228" i="5"/>
  <c r="D228" i="5"/>
  <c r="E228" i="5" s="1"/>
  <c r="F227" i="5"/>
  <c r="D227" i="5"/>
  <c r="E227" i="5" s="1"/>
  <c r="F226" i="5"/>
  <c r="D226" i="5"/>
  <c r="E226" i="5" s="1"/>
  <c r="F225" i="5"/>
  <c r="D225" i="5"/>
  <c r="E225" i="5" s="1"/>
  <c r="F224" i="5"/>
  <c r="D224" i="5"/>
  <c r="E224" i="5" s="1"/>
  <c r="F223" i="5"/>
  <c r="D223" i="5"/>
  <c r="E223" i="5" s="1"/>
  <c r="F222" i="5"/>
  <c r="D222" i="5"/>
  <c r="E222" i="5" s="1"/>
  <c r="F221" i="5"/>
  <c r="D221" i="5"/>
  <c r="E221" i="5" s="1"/>
  <c r="F220" i="5"/>
  <c r="D220" i="5"/>
  <c r="E220" i="5" s="1"/>
  <c r="F219" i="5"/>
  <c r="D219" i="5"/>
  <c r="E219" i="5" s="1"/>
  <c r="F218" i="5"/>
  <c r="D218" i="5"/>
  <c r="E218" i="5" s="1"/>
  <c r="F217" i="5"/>
  <c r="D217" i="5"/>
  <c r="E217" i="5" s="1"/>
  <c r="F216" i="5"/>
  <c r="D216" i="5"/>
  <c r="E216" i="5" s="1"/>
  <c r="F215" i="5"/>
  <c r="D215" i="5"/>
  <c r="E215" i="5" s="1"/>
  <c r="F214" i="5"/>
  <c r="D214" i="5"/>
  <c r="E214" i="5" s="1"/>
  <c r="F213" i="5"/>
  <c r="D213" i="5"/>
  <c r="E213" i="5" s="1"/>
  <c r="F212" i="5"/>
  <c r="D212" i="5"/>
  <c r="E212" i="5" s="1"/>
  <c r="F211" i="5"/>
  <c r="D211" i="5"/>
  <c r="E211" i="5" s="1"/>
  <c r="F210" i="5"/>
  <c r="D210" i="5"/>
  <c r="E210" i="5" s="1"/>
  <c r="F209" i="5"/>
  <c r="D209" i="5"/>
  <c r="E209" i="5" s="1"/>
  <c r="F208" i="5"/>
  <c r="D208" i="5"/>
  <c r="E208" i="5" s="1"/>
  <c r="F207" i="5"/>
  <c r="D207" i="5"/>
  <c r="E207" i="5" s="1"/>
  <c r="F206" i="5"/>
  <c r="D206" i="5"/>
  <c r="E206" i="5" s="1"/>
  <c r="F205" i="5"/>
  <c r="D205" i="5"/>
  <c r="E205" i="5" s="1"/>
  <c r="F204" i="5"/>
  <c r="D204" i="5"/>
  <c r="E204" i="5" s="1"/>
  <c r="F203" i="5"/>
  <c r="D203" i="5"/>
  <c r="E203" i="5" s="1"/>
  <c r="F202" i="5"/>
  <c r="D202" i="5"/>
  <c r="E202" i="5" s="1"/>
  <c r="F201" i="5"/>
  <c r="D201" i="5"/>
  <c r="E201" i="5" s="1"/>
  <c r="F200" i="5"/>
  <c r="D200" i="5"/>
  <c r="E200" i="5" s="1"/>
  <c r="F199" i="5"/>
  <c r="D199" i="5"/>
  <c r="E199" i="5" s="1"/>
  <c r="F198" i="5"/>
  <c r="D198" i="5"/>
  <c r="E198" i="5" s="1"/>
  <c r="F197" i="5"/>
  <c r="D197" i="5"/>
  <c r="E197" i="5" s="1"/>
  <c r="F196" i="5"/>
  <c r="D196" i="5"/>
  <c r="E196" i="5" s="1"/>
  <c r="F195" i="5"/>
  <c r="D195" i="5"/>
  <c r="E195" i="5" s="1"/>
  <c r="F194" i="5"/>
  <c r="D194" i="5"/>
  <c r="E194" i="5" s="1"/>
  <c r="F193" i="5"/>
  <c r="D193" i="5"/>
  <c r="E193" i="5" s="1"/>
  <c r="F192" i="5"/>
  <c r="D192" i="5"/>
  <c r="E192" i="5" s="1"/>
  <c r="F191" i="5"/>
  <c r="E191" i="5"/>
  <c r="D191" i="5"/>
  <c r="F190" i="5"/>
  <c r="D190" i="5"/>
  <c r="E190" i="5" s="1"/>
  <c r="F189" i="5"/>
  <c r="D189" i="5"/>
  <c r="E189" i="5" s="1"/>
  <c r="F188" i="5"/>
  <c r="D188" i="5"/>
  <c r="E188" i="5" s="1"/>
  <c r="F187" i="5"/>
  <c r="D187" i="5"/>
  <c r="E187" i="5" s="1"/>
  <c r="F186" i="5"/>
  <c r="D186" i="5"/>
  <c r="E186" i="5" s="1"/>
  <c r="F185" i="5"/>
  <c r="D185" i="5"/>
  <c r="E185" i="5" s="1"/>
  <c r="F184" i="5"/>
  <c r="D184" i="5"/>
  <c r="E184" i="5" s="1"/>
  <c r="F183" i="5"/>
  <c r="D183" i="5"/>
  <c r="E183" i="5" s="1"/>
  <c r="F182" i="5"/>
  <c r="D182" i="5"/>
  <c r="E182" i="5" s="1"/>
  <c r="F181" i="5"/>
  <c r="D181" i="5"/>
  <c r="E181" i="5" s="1"/>
  <c r="F180" i="5"/>
  <c r="D180" i="5"/>
  <c r="E180" i="5" s="1"/>
  <c r="F179" i="5"/>
  <c r="D179" i="5"/>
  <c r="E179" i="5" s="1"/>
  <c r="F178" i="5"/>
  <c r="D178" i="5"/>
  <c r="E178" i="5" s="1"/>
  <c r="F177" i="5"/>
  <c r="D177" i="5"/>
  <c r="E177" i="5" s="1"/>
  <c r="F176" i="5"/>
  <c r="D176" i="5"/>
  <c r="E176" i="5" s="1"/>
  <c r="F175" i="5"/>
  <c r="D175" i="5"/>
  <c r="E175" i="5" s="1"/>
  <c r="F174" i="5"/>
  <c r="D174" i="5"/>
  <c r="E174" i="5" s="1"/>
  <c r="F173" i="5"/>
  <c r="D173" i="5"/>
  <c r="E173" i="5" s="1"/>
  <c r="F172" i="5"/>
  <c r="D172" i="5"/>
  <c r="E172" i="5" s="1"/>
  <c r="F171" i="5"/>
  <c r="D171" i="5"/>
  <c r="E171" i="5" s="1"/>
  <c r="F170" i="5"/>
  <c r="D170" i="5"/>
  <c r="E170" i="5" s="1"/>
  <c r="F169" i="5"/>
  <c r="D169" i="5"/>
  <c r="E169" i="5" s="1"/>
  <c r="F168" i="5"/>
  <c r="D168" i="5"/>
  <c r="E168" i="5" s="1"/>
  <c r="F167" i="5"/>
  <c r="D167" i="5"/>
  <c r="E167" i="5" s="1"/>
  <c r="F166" i="5"/>
  <c r="D166" i="5"/>
  <c r="E166" i="5" s="1"/>
  <c r="F165" i="5"/>
  <c r="D165" i="5"/>
  <c r="E165" i="5" s="1"/>
  <c r="F164" i="5"/>
  <c r="D164" i="5"/>
  <c r="E164" i="5" s="1"/>
  <c r="F163" i="5"/>
  <c r="D163" i="5"/>
  <c r="E163" i="5" s="1"/>
  <c r="F162" i="5"/>
  <c r="D162" i="5"/>
  <c r="E162" i="5" s="1"/>
  <c r="F161" i="5"/>
  <c r="D161" i="5"/>
  <c r="E161" i="5" s="1"/>
  <c r="F160" i="5"/>
  <c r="D160" i="5"/>
  <c r="E160" i="5" s="1"/>
  <c r="F159" i="5"/>
  <c r="D159" i="5"/>
  <c r="E159" i="5" s="1"/>
  <c r="F158" i="5"/>
  <c r="D158" i="5"/>
  <c r="E158" i="5" s="1"/>
  <c r="F157" i="5"/>
  <c r="D157" i="5"/>
  <c r="E157" i="5" s="1"/>
  <c r="F156" i="5"/>
  <c r="D156" i="5"/>
  <c r="E156" i="5" s="1"/>
  <c r="F155" i="5"/>
  <c r="D155" i="5"/>
  <c r="E155" i="5" s="1"/>
  <c r="F154" i="5"/>
  <c r="D154" i="5"/>
  <c r="E154" i="5" s="1"/>
  <c r="F153" i="5"/>
  <c r="D153" i="5"/>
  <c r="E153" i="5" s="1"/>
  <c r="F152" i="5"/>
  <c r="D152" i="5"/>
  <c r="E152" i="5" s="1"/>
  <c r="F151" i="5"/>
  <c r="E151" i="5"/>
  <c r="D151" i="5"/>
  <c r="F150" i="5"/>
  <c r="D150" i="5"/>
  <c r="E150" i="5" s="1"/>
  <c r="F149" i="5"/>
  <c r="D149" i="5"/>
  <c r="E149" i="5" s="1"/>
  <c r="F148" i="5"/>
  <c r="D148" i="5"/>
  <c r="E148" i="5" s="1"/>
  <c r="F147" i="5"/>
  <c r="D147" i="5"/>
  <c r="E147" i="5" s="1"/>
  <c r="F146" i="5"/>
  <c r="D146" i="5"/>
  <c r="E146" i="5" s="1"/>
  <c r="F145" i="5"/>
  <c r="D145" i="5"/>
  <c r="E145" i="5" s="1"/>
  <c r="F144" i="5"/>
  <c r="D144" i="5"/>
  <c r="E144" i="5" s="1"/>
  <c r="F143" i="5"/>
  <c r="D143" i="5"/>
  <c r="E143" i="5" s="1"/>
  <c r="F142" i="5"/>
  <c r="D142" i="5"/>
  <c r="E142" i="5" s="1"/>
  <c r="F141" i="5"/>
  <c r="D141" i="5"/>
  <c r="E141" i="5" s="1"/>
  <c r="F140" i="5"/>
  <c r="D140" i="5"/>
  <c r="E140" i="5" s="1"/>
  <c r="F139" i="5"/>
  <c r="D139" i="5"/>
  <c r="E139" i="5" s="1"/>
  <c r="F138" i="5"/>
  <c r="D138" i="5"/>
  <c r="E138" i="5" s="1"/>
  <c r="F137" i="5"/>
  <c r="D137" i="5"/>
  <c r="E137" i="5" s="1"/>
  <c r="F136" i="5"/>
  <c r="D136" i="5"/>
  <c r="E136" i="5" s="1"/>
  <c r="F135" i="5"/>
  <c r="D135" i="5"/>
  <c r="E135" i="5" s="1"/>
  <c r="F134" i="5"/>
  <c r="D134" i="5"/>
  <c r="E134" i="5" s="1"/>
  <c r="F133" i="5"/>
  <c r="D133" i="5"/>
  <c r="E133" i="5" s="1"/>
  <c r="F132" i="5"/>
  <c r="D132" i="5"/>
  <c r="E132" i="5" s="1"/>
  <c r="F131" i="5"/>
  <c r="D131" i="5"/>
  <c r="E131" i="5" s="1"/>
  <c r="F130" i="5"/>
  <c r="D130" i="5"/>
  <c r="E130" i="5" s="1"/>
  <c r="F129" i="5"/>
  <c r="D129" i="5"/>
  <c r="E129" i="5" s="1"/>
  <c r="F128" i="5"/>
  <c r="D128" i="5"/>
  <c r="E128" i="5" s="1"/>
  <c r="F127" i="5"/>
  <c r="D127" i="5"/>
  <c r="E127" i="5" s="1"/>
  <c r="F126" i="5"/>
  <c r="D126" i="5"/>
  <c r="E126" i="5" s="1"/>
  <c r="F125" i="5"/>
  <c r="D125" i="5"/>
  <c r="E125" i="5" s="1"/>
  <c r="F124" i="5"/>
  <c r="D124" i="5"/>
  <c r="E124" i="5" s="1"/>
  <c r="F123" i="5"/>
  <c r="D123" i="5"/>
  <c r="E123" i="5" s="1"/>
  <c r="F122" i="5"/>
  <c r="D122" i="5"/>
  <c r="E122" i="5" s="1"/>
  <c r="F121" i="5"/>
  <c r="D121" i="5"/>
  <c r="E121" i="5" s="1"/>
  <c r="F120" i="5"/>
  <c r="D120" i="5"/>
  <c r="E120" i="5" s="1"/>
  <c r="F119" i="5"/>
  <c r="D119" i="5"/>
  <c r="E119" i="5" s="1"/>
  <c r="F118" i="5"/>
  <c r="D118" i="5"/>
  <c r="E118" i="5" s="1"/>
  <c r="F117" i="5"/>
  <c r="D117" i="5"/>
  <c r="E117" i="5" s="1"/>
  <c r="F116" i="5"/>
  <c r="D116" i="5"/>
  <c r="E116" i="5" s="1"/>
  <c r="F115" i="5"/>
  <c r="D115" i="5"/>
  <c r="E115" i="5" s="1"/>
  <c r="F114" i="5"/>
  <c r="D114" i="5"/>
  <c r="E114" i="5" s="1"/>
  <c r="F113" i="5"/>
  <c r="D113" i="5"/>
  <c r="E113" i="5" s="1"/>
  <c r="F112" i="5"/>
  <c r="D112" i="5"/>
  <c r="E112" i="5" s="1"/>
  <c r="F111" i="5"/>
  <c r="D111" i="5"/>
  <c r="E111" i="5" s="1"/>
  <c r="F110" i="5"/>
  <c r="D110" i="5"/>
  <c r="E110" i="5" s="1"/>
  <c r="F109" i="5"/>
  <c r="D109" i="5"/>
  <c r="E109" i="5" s="1"/>
  <c r="F108" i="5"/>
  <c r="D108" i="5"/>
  <c r="E108" i="5" s="1"/>
  <c r="F107" i="5"/>
  <c r="D107" i="5"/>
  <c r="E107" i="5" s="1"/>
  <c r="F106" i="5"/>
  <c r="D106" i="5"/>
  <c r="E106" i="5" s="1"/>
  <c r="F105" i="5"/>
  <c r="D105" i="5"/>
  <c r="E105" i="5" s="1"/>
  <c r="F104" i="5"/>
  <c r="D104" i="5"/>
  <c r="E104" i="5" s="1"/>
  <c r="F103" i="5"/>
  <c r="D103" i="5"/>
  <c r="E103" i="5" s="1"/>
  <c r="F102" i="5"/>
  <c r="D102" i="5"/>
  <c r="E102" i="5" s="1"/>
  <c r="F101" i="5"/>
  <c r="D101" i="5"/>
  <c r="E101" i="5" s="1"/>
  <c r="F100" i="5"/>
  <c r="D100" i="5"/>
  <c r="E100" i="5" s="1"/>
  <c r="F99" i="5"/>
  <c r="D99" i="5"/>
  <c r="E99" i="5" s="1"/>
  <c r="F98" i="5"/>
  <c r="D98" i="5"/>
  <c r="E98" i="5" s="1"/>
  <c r="F97" i="5"/>
  <c r="D97" i="5"/>
  <c r="E97" i="5" s="1"/>
  <c r="F96" i="5"/>
  <c r="D96" i="5"/>
  <c r="E96" i="5" s="1"/>
  <c r="F95" i="5"/>
  <c r="D95" i="5"/>
  <c r="E95" i="5" s="1"/>
  <c r="F94" i="5"/>
  <c r="D94" i="5"/>
  <c r="E94" i="5" s="1"/>
  <c r="F93" i="5"/>
  <c r="D93" i="5"/>
  <c r="E93" i="5" s="1"/>
  <c r="F92" i="5"/>
  <c r="D92" i="5"/>
  <c r="E92" i="5" s="1"/>
  <c r="F91" i="5"/>
  <c r="D91" i="5"/>
  <c r="E91" i="5" s="1"/>
  <c r="F90" i="5"/>
  <c r="D90" i="5"/>
  <c r="E90" i="5" s="1"/>
  <c r="F89" i="5"/>
  <c r="D89" i="5"/>
  <c r="E89" i="5" s="1"/>
  <c r="F88" i="5"/>
  <c r="D88" i="5"/>
  <c r="E88" i="5" s="1"/>
  <c r="F87" i="5"/>
  <c r="D87" i="5"/>
  <c r="E87" i="5" s="1"/>
  <c r="F86" i="5"/>
  <c r="D86" i="5"/>
  <c r="E86" i="5" s="1"/>
  <c r="F85" i="5"/>
  <c r="D85" i="5"/>
  <c r="E85" i="5" s="1"/>
  <c r="F84" i="5"/>
  <c r="D84" i="5"/>
  <c r="E84" i="5" s="1"/>
  <c r="F83" i="5"/>
  <c r="D83" i="5"/>
  <c r="E83" i="5" s="1"/>
  <c r="F82" i="5"/>
  <c r="D82" i="5"/>
  <c r="E82" i="5" s="1"/>
  <c r="F81" i="5"/>
  <c r="D81" i="5"/>
  <c r="E81" i="5" s="1"/>
  <c r="F80" i="5"/>
  <c r="D80" i="5"/>
  <c r="E80" i="5" s="1"/>
  <c r="F79" i="5"/>
  <c r="D79" i="5"/>
  <c r="E79" i="5" s="1"/>
  <c r="F78" i="5"/>
  <c r="D78" i="5"/>
  <c r="E78" i="5" s="1"/>
  <c r="F77" i="5"/>
  <c r="D77" i="5"/>
  <c r="E77" i="5" s="1"/>
  <c r="F76" i="5"/>
  <c r="D76" i="5"/>
  <c r="E76" i="5" s="1"/>
  <c r="F75" i="5"/>
  <c r="D75" i="5"/>
  <c r="E75" i="5" s="1"/>
  <c r="F74" i="5"/>
  <c r="D74" i="5"/>
  <c r="E74" i="5" s="1"/>
  <c r="F73" i="5"/>
  <c r="D73" i="5"/>
  <c r="E73" i="5" s="1"/>
  <c r="F72" i="5"/>
  <c r="D72" i="5"/>
  <c r="E72" i="5" s="1"/>
  <c r="F71" i="5"/>
  <c r="D71" i="5"/>
  <c r="E71" i="5" s="1"/>
  <c r="F70" i="5"/>
  <c r="D70" i="5"/>
  <c r="E70" i="5" s="1"/>
  <c r="F69" i="5"/>
  <c r="D69" i="5"/>
  <c r="E69" i="5" s="1"/>
  <c r="F68" i="5"/>
  <c r="D68" i="5"/>
  <c r="E68" i="5" s="1"/>
  <c r="F67" i="5"/>
  <c r="D67" i="5"/>
  <c r="E67" i="5" s="1"/>
  <c r="F66" i="5"/>
  <c r="D66" i="5"/>
  <c r="E66" i="5" s="1"/>
  <c r="F65" i="5"/>
  <c r="D65" i="5"/>
  <c r="E65" i="5" s="1"/>
  <c r="F64" i="5"/>
  <c r="D64" i="5"/>
  <c r="E64" i="5" s="1"/>
  <c r="F63" i="5"/>
  <c r="E63" i="5"/>
  <c r="D63" i="5"/>
  <c r="F62" i="5"/>
  <c r="D62" i="5"/>
  <c r="E62" i="5" s="1"/>
  <c r="F61" i="5"/>
  <c r="D61" i="5"/>
  <c r="E61" i="5" s="1"/>
  <c r="F60" i="5"/>
  <c r="D60" i="5"/>
  <c r="E60" i="5" s="1"/>
  <c r="F59" i="5"/>
  <c r="D59" i="5"/>
  <c r="E59" i="5" s="1"/>
  <c r="F58" i="5"/>
  <c r="D58" i="5"/>
  <c r="E58" i="5" s="1"/>
  <c r="F57" i="5"/>
  <c r="D57" i="5"/>
  <c r="E57" i="5" s="1"/>
  <c r="F56" i="5"/>
  <c r="D56" i="5"/>
  <c r="E56" i="5" s="1"/>
  <c r="F55" i="5"/>
  <c r="D55" i="5"/>
  <c r="E55" i="5" s="1"/>
  <c r="F54" i="5"/>
  <c r="D54" i="5"/>
  <c r="E54" i="5" s="1"/>
  <c r="F53" i="5"/>
  <c r="D53" i="5"/>
  <c r="E53" i="5" s="1"/>
  <c r="F52" i="5"/>
  <c r="D52" i="5"/>
  <c r="E52" i="5" s="1"/>
  <c r="F51" i="5"/>
  <c r="D51" i="5"/>
  <c r="E51" i="5" s="1"/>
  <c r="F50" i="5"/>
  <c r="D50" i="5"/>
  <c r="E50" i="5" s="1"/>
  <c r="F49" i="5"/>
  <c r="D49" i="5"/>
  <c r="E49" i="5" s="1"/>
  <c r="F48" i="5"/>
  <c r="D48" i="5"/>
  <c r="E48" i="5" s="1"/>
  <c r="F47" i="5"/>
  <c r="D47" i="5"/>
  <c r="E47" i="5" s="1"/>
  <c r="F46" i="5"/>
  <c r="D46" i="5"/>
  <c r="E46" i="5" s="1"/>
  <c r="F45" i="5"/>
  <c r="D45" i="5"/>
  <c r="E45" i="5" s="1"/>
  <c r="F44" i="5"/>
  <c r="D44" i="5"/>
  <c r="E44" i="5" s="1"/>
  <c r="F43" i="5"/>
  <c r="D43" i="5"/>
  <c r="E43" i="5" s="1"/>
  <c r="F42" i="5"/>
  <c r="D42" i="5"/>
  <c r="E42" i="5" s="1"/>
  <c r="F41" i="5"/>
  <c r="D41" i="5"/>
  <c r="E41" i="5" s="1"/>
  <c r="F40" i="5"/>
  <c r="D40" i="5"/>
  <c r="E40" i="5" s="1"/>
  <c r="F39" i="5"/>
  <c r="D39" i="5"/>
  <c r="E39" i="5" s="1"/>
  <c r="F38" i="5"/>
  <c r="D38" i="5"/>
  <c r="E38" i="5" s="1"/>
  <c r="F37" i="5"/>
  <c r="D37" i="5"/>
  <c r="E37" i="5" s="1"/>
  <c r="F36" i="5"/>
  <c r="D36" i="5"/>
  <c r="E36" i="5" s="1"/>
  <c r="F35" i="5"/>
  <c r="D35" i="5"/>
  <c r="E35" i="5" s="1"/>
  <c r="F34" i="5"/>
  <c r="D34" i="5"/>
  <c r="E34" i="5" s="1"/>
  <c r="F33" i="5"/>
  <c r="D33" i="5"/>
  <c r="E33" i="5" s="1"/>
  <c r="F32" i="5"/>
  <c r="D32" i="5"/>
  <c r="E32" i="5" s="1"/>
  <c r="F31" i="5"/>
  <c r="D31" i="5"/>
  <c r="E31" i="5" s="1"/>
  <c r="F30" i="5"/>
  <c r="D30" i="5"/>
  <c r="E30" i="5" s="1"/>
  <c r="F29" i="5"/>
  <c r="D29" i="5"/>
  <c r="E29" i="5" s="1"/>
  <c r="F28" i="5"/>
  <c r="D28" i="5"/>
  <c r="E28" i="5" s="1"/>
  <c r="F27" i="5"/>
  <c r="D27" i="5"/>
  <c r="E27" i="5" s="1"/>
  <c r="F26" i="5"/>
  <c r="D26" i="5"/>
  <c r="E26" i="5" s="1"/>
  <c r="H290" i="2"/>
  <c r="G290" i="2"/>
  <c r="F290" i="2"/>
  <c r="E290" i="2"/>
  <c r="H289" i="2"/>
  <c r="G289" i="2"/>
  <c r="F289" i="2"/>
  <c r="E289" i="2"/>
  <c r="H288" i="2"/>
  <c r="G288" i="2"/>
  <c r="F288" i="2"/>
  <c r="E288" i="2"/>
  <c r="H287" i="2"/>
  <c r="G287" i="2"/>
  <c r="F287" i="2"/>
  <c r="E287" i="2"/>
  <c r="H286" i="2"/>
  <c r="G286" i="2"/>
  <c r="F286" i="2"/>
  <c r="E286" i="2"/>
  <c r="H285" i="2"/>
  <c r="G285" i="2"/>
  <c r="F285" i="2"/>
  <c r="E285" i="2"/>
  <c r="H284" i="2"/>
  <c r="G284" i="2"/>
  <c r="F284" i="2"/>
  <c r="E284" i="2"/>
  <c r="H283" i="2"/>
  <c r="G283" i="2"/>
  <c r="F283" i="2"/>
  <c r="E283" i="2"/>
  <c r="H282" i="2"/>
  <c r="G282" i="2"/>
  <c r="F282" i="2"/>
  <c r="E282" i="2"/>
  <c r="H281" i="2"/>
  <c r="G281" i="2"/>
  <c r="F281" i="2"/>
  <c r="E281" i="2"/>
  <c r="H280" i="2"/>
  <c r="G280" i="2"/>
  <c r="F280" i="2"/>
  <c r="E280" i="2"/>
  <c r="H279" i="2"/>
  <c r="G279" i="2"/>
  <c r="F279" i="2"/>
  <c r="E279" i="2"/>
  <c r="H278" i="2"/>
  <c r="G278" i="2"/>
  <c r="F278" i="2"/>
  <c r="E278" i="2"/>
  <c r="H277" i="2"/>
  <c r="G277" i="2"/>
  <c r="F277" i="2"/>
  <c r="E277" i="2"/>
  <c r="H276" i="2"/>
  <c r="G276" i="2"/>
  <c r="F276" i="2"/>
  <c r="E276" i="2"/>
  <c r="H275" i="2"/>
  <c r="G275" i="2"/>
  <c r="F275" i="2"/>
  <c r="E275" i="2"/>
  <c r="H274" i="2"/>
  <c r="G274" i="2"/>
  <c r="F274" i="2"/>
  <c r="E274" i="2"/>
  <c r="H273" i="2"/>
  <c r="G273" i="2"/>
  <c r="F273" i="2"/>
  <c r="E273" i="2"/>
  <c r="H272" i="2"/>
  <c r="G272" i="2"/>
  <c r="F272" i="2"/>
  <c r="E272" i="2"/>
  <c r="H271" i="2"/>
  <c r="G271" i="2"/>
  <c r="F271" i="2"/>
  <c r="E271" i="2"/>
  <c r="H270" i="2"/>
  <c r="G270" i="2"/>
  <c r="F270" i="2"/>
  <c r="E270" i="2"/>
  <c r="H269" i="2"/>
  <c r="G269" i="2"/>
  <c r="F269" i="2"/>
  <c r="E269" i="2"/>
  <c r="H268" i="2"/>
  <c r="G268" i="2"/>
  <c r="F268" i="2"/>
  <c r="E268" i="2"/>
  <c r="H267" i="2"/>
  <c r="G267" i="2"/>
  <c r="F267" i="2"/>
  <c r="E267" i="2"/>
  <c r="H266" i="2"/>
  <c r="G266" i="2"/>
  <c r="F266" i="2"/>
  <c r="E266" i="2"/>
  <c r="H265" i="2"/>
  <c r="G265" i="2"/>
  <c r="F265" i="2"/>
  <c r="E265" i="2"/>
  <c r="H264" i="2"/>
  <c r="G264" i="2"/>
  <c r="F264" i="2"/>
  <c r="E264" i="2"/>
  <c r="H263" i="2"/>
  <c r="G263" i="2"/>
  <c r="F263" i="2"/>
  <c r="E263" i="2"/>
  <c r="H262" i="2"/>
  <c r="G262" i="2"/>
  <c r="F262" i="2"/>
  <c r="E262" i="2"/>
  <c r="H261" i="2"/>
  <c r="G261" i="2"/>
  <c r="F261" i="2"/>
  <c r="E261" i="2"/>
  <c r="H260" i="2"/>
  <c r="G260" i="2"/>
  <c r="F260" i="2"/>
  <c r="E260" i="2"/>
  <c r="H259" i="2"/>
  <c r="G259" i="2"/>
  <c r="F259" i="2"/>
  <c r="E259" i="2"/>
  <c r="H258" i="2"/>
  <c r="G258" i="2"/>
  <c r="F258" i="2"/>
  <c r="E258" i="2"/>
  <c r="H257" i="2"/>
  <c r="G257" i="2"/>
  <c r="F257" i="2"/>
  <c r="E257" i="2"/>
  <c r="H256" i="2"/>
  <c r="G256" i="2"/>
  <c r="F256" i="2"/>
  <c r="E256" i="2"/>
  <c r="H255" i="2"/>
  <c r="G255" i="2"/>
  <c r="F255" i="2"/>
  <c r="E255" i="2"/>
  <c r="H254" i="2"/>
  <c r="G254" i="2"/>
  <c r="F254" i="2"/>
  <c r="E254" i="2"/>
  <c r="H253" i="2"/>
  <c r="G253" i="2"/>
  <c r="F253" i="2"/>
  <c r="E253" i="2"/>
  <c r="H252" i="2"/>
  <c r="G252" i="2"/>
  <c r="F252" i="2"/>
  <c r="E252" i="2"/>
  <c r="H251" i="2"/>
  <c r="G251" i="2"/>
  <c r="F251" i="2"/>
  <c r="E251" i="2"/>
  <c r="H250" i="2"/>
  <c r="G250" i="2"/>
  <c r="F250" i="2"/>
  <c r="E250" i="2"/>
  <c r="H249" i="2"/>
  <c r="G249" i="2"/>
  <c r="F249" i="2"/>
  <c r="E249" i="2"/>
  <c r="H248" i="2"/>
  <c r="G248" i="2"/>
  <c r="F248" i="2"/>
  <c r="E248" i="2"/>
  <c r="H247" i="2"/>
  <c r="G247" i="2"/>
  <c r="F247" i="2"/>
  <c r="E247" i="2"/>
  <c r="H246" i="2"/>
  <c r="G246" i="2"/>
  <c r="F246" i="2"/>
  <c r="E246" i="2"/>
  <c r="H245" i="2"/>
  <c r="G245" i="2"/>
  <c r="F245" i="2"/>
  <c r="E245" i="2"/>
  <c r="H244" i="2"/>
  <c r="G244" i="2"/>
  <c r="F244" i="2"/>
  <c r="E244" i="2"/>
  <c r="H243" i="2"/>
  <c r="G243" i="2"/>
  <c r="F243" i="2"/>
  <c r="E243" i="2"/>
  <c r="H242" i="2"/>
  <c r="G242" i="2"/>
  <c r="F242" i="2"/>
  <c r="E242" i="2"/>
  <c r="H241" i="2"/>
  <c r="G241" i="2"/>
  <c r="F241" i="2"/>
  <c r="E241" i="2"/>
  <c r="H240" i="2"/>
  <c r="G240" i="2"/>
  <c r="F240" i="2"/>
  <c r="E240" i="2"/>
  <c r="H239" i="2"/>
  <c r="G239" i="2"/>
  <c r="F239" i="2"/>
  <c r="E239" i="2"/>
  <c r="H238" i="2"/>
  <c r="G238" i="2"/>
  <c r="F238" i="2"/>
  <c r="E238" i="2"/>
  <c r="H237" i="2"/>
  <c r="G237" i="2"/>
  <c r="F237" i="2"/>
  <c r="E237" i="2"/>
  <c r="H236" i="2"/>
  <c r="G236" i="2"/>
  <c r="F236" i="2"/>
  <c r="E236" i="2"/>
  <c r="H235" i="2"/>
  <c r="G235" i="2"/>
  <c r="F235" i="2"/>
  <c r="E235" i="2"/>
  <c r="H234" i="2"/>
  <c r="G234" i="2"/>
  <c r="F234" i="2"/>
  <c r="E234" i="2"/>
  <c r="H233" i="2"/>
  <c r="G233" i="2"/>
  <c r="F233" i="2"/>
  <c r="E233" i="2"/>
  <c r="H232" i="2"/>
  <c r="G232" i="2"/>
  <c r="F232" i="2"/>
  <c r="E232" i="2"/>
  <c r="H231" i="2"/>
  <c r="G231" i="2"/>
  <c r="F231" i="2"/>
  <c r="E231" i="2"/>
  <c r="H230" i="2"/>
  <c r="G230" i="2"/>
  <c r="F230" i="2"/>
  <c r="E230" i="2"/>
  <c r="H229" i="2"/>
  <c r="G229" i="2"/>
  <c r="F229" i="2"/>
  <c r="E229" i="2"/>
  <c r="H228" i="2"/>
  <c r="G228" i="2"/>
  <c r="F228" i="2"/>
  <c r="E228" i="2"/>
  <c r="H227" i="2"/>
  <c r="G227" i="2"/>
  <c r="F227" i="2"/>
  <c r="E227" i="2"/>
  <c r="H226" i="2"/>
  <c r="G226" i="2"/>
  <c r="F226" i="2"/>
  <c r="E226" i="2"/>
  <c r="H225" i="2"/>
  <c r="G225" i="2"/>
  <c r="F225" i="2"/>
  <c r="E225" i="2"/>
  <c r="H224" i="2"/>
  <c r="G224" i="2"/>
  <c r="F224" i="2"/>
  <c r="E224" i="2"/>
  <c r="H223" i="2"/>
  <c r="G223" i="2"/>
  <c r="F223" i="2"/>
  <c r="E223" i="2"/>
  <c r="H222" i="2"/>
  <c r="G222" i="2"/>
  <c r="F222" i="2"/>
  <c r="E222" i="2"/>
  <c r="H221" i="2"/>
  <c r="G221" i="2"/>
  <c r="F221" i="2"/>
  <c r="E221" i="2"/>
  <c r="H220" i="2"/>
  <c r="G220" i="2"/>
  <c r="F220" i="2"/>
  <c r="E220" i="2"/>
  <c r="H219" i="2"/>
  <c r="G219" i="2"/>
  <c r="F219" i="2"/>
  <c r="E219" i="2"/>
  <c r="H218" i="2"/>
  <c r="G218" i="2"/>
  <c r="F218" i="2"/>
  <c r="E218" i="2"/>
  <c r="H217" i="2"/>
  <c r="G217" i="2"/>
  <c r="F217" i="2"/>
  <c r="E217" i="2"/>
  <c r="H216" i="2"/>
  <c r="G216" i="2"/>
  <c r="F216" i="2"/>
  <c r="E216" i="2"/>
  <c r="H215" i="2"/>
  <c r="G215" i="2"/>
  <c r="F215" i="2"/>
  <c r="E215" i="2"/>
  <c r="H214" i="2"/>
  <c r="G214" i="2"/>
  <c r="F214" i="2"/>
  <c r="E214" i="2"/>
  <c r="H213" i="2"/>
  <c r="G213" i="2"/>
  <c r="F213" i="2"/>
  <c r="E213" i="2"/>
  <c r="H212" i="2"/>
  <c r="G212" i="2"/>
  <c r="F212" i="2"/>
  <c r="E212" i="2"/>
  <c r="H211" i="2"/>
  <c r="G211" i="2"/>
  <c r="F211" i="2"/>
  <c r="E211" i="2"/>
  <c r="H210" i="2"/>
  <c r="G210" i="2"/>
  <c r="F210" i="2"/>
  <c r="E210" i="2"/>
  <c r="H209" i="2"/>
  <c r="G209" i="2"/>
  <c r="F209" i="2"/>
  <c r="E209" i="2"/>
  <c r="H208" i="2"/>
  <c r="G208" i="2"/>
  <c r="F208" i="2"/>
  <c r="E208" i="2"/>
  <c r="H207" i="2"/>
  <c r="G207" i="2"/>
  <c r="F207" i="2"/>
  <c r="E207" i="2"/>
  <c r="H206" i="2"/>
  <c r="G206" i="2"/>
  <c r="F206" i="2"/>
  <c r="E206" i="2"/>
  <c r="H205" i="2"/>
  <c r="G205" i="2"/>
  <c r="F205" i="2"/>
  <c r="E205" i="2"/>
  <c r="H204" i="2"/>
  <c r="G204" i="2"/>
  <c r="F204" i="2"/>
  <c r="E204" i="2"/>
  <c r="H203" i="2"/>
  <c r="G203" i="2"/>
  <c r="F203" i="2"/>
  <c r="E203" i="2"/>
  <c r="H202" i="2"/>
  <c r="G202" i="2"/>
  <c r="F202" i="2"/>
  <c r="E202" i="2"/>
  <c r="H201" i="2"/>
  <c r="G201" i="2"/>
  <c r="F201" i="2"/>
  <c r="E201" i="2"/>
  <c r="H200" i="2"/>
  <c r="G200" i="2"/>
  <c r="F200" i="2"/>
  <c r="E200" i="2"/>
  <c r="H199" i="2"/>
  <c r="G199" i="2"/>
  <c r="F199" i="2"/>
  <c r="E199" i="2"/>
  <c r="H198" i="2"/>
  <c r="G198" i="2"/>
  <c r="F198" i="2"/>
  <c r="E198" i="2"/>
  <c r="H197" i="2"/>
  <c r="G197" i="2"/>
  <c r="F197" i="2"/>
  <c r="E197" i="2"/>
  <c r="H196" i="2"/>
  <c r="G196" i="2"/>
  <c r="F196" i="2"/>
  <c r="E196" i="2"/>
  <c r="H195" i="2"/>
  <c r="G195" i="2"/>
  <c r="F195" i="2"/>
  <c r="E195" i="2"/>
  <c r="H194" i="2"/>
  <c r="G194" i="2"/>
  <c r="F194" i="2"/>
  <c r="E194" i="2"/>
  <c r="H193" i="2"/>
  <c r="G193" i="2"/>
  <c r="F193" i="2"/>
  <c r="E193" i="2"/>
  <c r="H192" i="2"/>
  <c r="G192" i="2"/>
  <c r="F192" i="2"/>
  <c r="E192" i="2"/>
  <c r="H191" i="2"/>
  <c r="G191" i="2"/>
  <c r="F191" i="2"/>
  <c r="E191" i="2"/>
  <c r="H190" i="2"/>
  <c r="G190" i="2"/>
  <c r="F190" i="2"/>
  <c r="E190" i="2"/>
  <c r="H189" i="2"/>
  <c r="G189" i="2"/>
  <c r="F189" i="2"/>
  <c r="E189" i="2"/>
  <c r="H188" i="2"/>
  <c r="G188" i="2"/>
  <c r="F188" i="2"/>
  <c r="E188" i="2"/>
  <c r="H187" i="2"/>
  <c r="G187" i="2"/>
  <c r="F187" i="2"/>
  <c r="E187" i="2"/>
  <c r="H186" i="2"/>
  <c r="G186" i="2"/>
  <c r="F186" i="2"/>
  <c r="E186" i="2"/>
  <c r="H185" i="2"/>
  <c r="G185" i="2"/>
  <c r="F185" i="2"/>
  <c r="E185" i="2"/>
  <c r="H184" i="2"/>
  <c r="G184" i="2"/>
  <c r="F184" i="2"/>
  <c r="E184" i="2"/>
  <c r="H183" i="2"/>
  <c r="G183" i="2"/>
  <c r="F183" i="2"/>
  <c r="E183" i="2"/>
  <c r="H182" i="2"/>
  <c r="G182" i="2"/>
  <c r="F182" i="2"/>
  <c r="E182" i="2"/>
  <c r="H181" i="2"/>
  <c r="G181" i="2"/>
  <c r="F181" i="2"/>
  <c r="E181" i="2"/>
  <c r="H180" i="2"/>
  <c r="G180" i="2"/>
  <c r="F180" i="2"/>
  <c r="E180" i="2"/>
  <c r="H179" i="2"/>
  <c r="G179" i="2"/>
  <c r="F179" i="2"/>
  <c r="E179" i="2"/>
  <c r="H178" i="2"/>
  <c r="G178" i="2"/>
  <c r="F178" i="2"/>
  <c r="E178" i="2"/>
  <c r="H177" i="2"/>
  <c r="G177" i="2"/>
  <c r="F177" i="2"/>
  <c r="E177" i="2"/>
  <c r="H176" i="2"/>
  <c r="G176" i="2"/>
  <c r="F176" i="2"/>
  <c r="E176" i="2"/>
  <c r="H175" i="2"/>
  <c r="G175" i="2"/>
  <c r="F175" i="2"/>
  <c r="E175" i="2"/>
  <c r="H174" i="2"/>
  <c r="G174" i="2"/>
  <c r="F174" i="2"/>
  <c r="E174" i="2"/>
  <c r="H173" i="2"/>
  <c r="G173" i="2"/>
  <c r="F173" i="2"/>
  <c r="E173" i="2"/>
  <c r="H172" i="2"/>
  <c r="G172" i="2"/>
  <c r="F172" i="2"/>
  <c r="E172" i="2"/>
  <c r="H171" i="2"/>
  <c r="G171" i="2"/>
  <c r="F171" i="2"/>
  <c r="E171" i="2"/>
  <c r="H170" i="2"/>
  <c r="G170" i="2"/>
  <c r="F170" i="2"/>
  <c r="E170" i="2"/>
  <c r="H169" i="2"/>
  <c r="G169" i="2"/>
  <c r="F169" i="2"/>
  <c r="E169" i="2"/>
  <c r="H168" i="2"/>
  <c r="G168" i="2"/>
  <c r="F168" i="2"/>
  <c r="E168" i="2"/>
  <c r="H167" i="2"/>
  <c r="G167" i="2"/>
  <c r="F167" i="2"/>
  <c r="E167" i="2"/>
  <c r="H166" i="2"/>
  <c r="G166" i="2"/>
  <c r="F166" i="2"/>
  <c r="E166" i="2"/>
  <c r="H165" i="2"/>
  <c r="G165" i="2"/>
  <c r="F165" i="2"/>
  <c r="E165" i="2"/>
  <c r="H164" i="2"/>
  <c r="G164" i="2"/>
  <c r="F164" i="2"/>
  <c r="E164" i="2"/>
  <c r="H163" i="2"/>
  <c r="G163" i="2"/>
  <c r="F163" i="2"/>
  <c r="E163" i="2"/>
  <c r="H162" i="2"/>
  <c r="G162" i="2"/>
  <c r="F162" i="2"/>
  <c r="E162" i="2"/>
  <c r="H161" i="2"/>
  <c r="G161" i="2"/>
  <c r="F161" i="2"/>
  <c r="E161" i="2"/>
  <c r="H160" i="2"/>
  <c r="G160" i="2"/>
  <c r="F160" i="2"/>
  <c r="E160" i="2"/>
  <c r="H159" i="2"/>
  <c r="G159" i="2"/>
  <c r="F159" i="2"/>
  <c r="E159" i="2"/>
  <c r="H158" i="2"/>
  <c r="G158" i="2"/>
  <c r="F158" i="2"/>
  <c r="E158" i="2"/>
  <c r="H157" i="2"/>
  <c r="G157" i="2"/>
  <c r="F157" i="2"/>
  <c r="E157" i="2"/>
  <c r="H156" i="2"/>
  <c r="G156" i="2"/>
  <c r="F156" i="2"/>
  <c r="E156" i="2"/>
  <c r="H155" i="2"/>
  <c r="G155" i="2"/>
  <c r="F155" i="2"/>
  <c r="E155" i="2"/>
  <c r="H154" i="2"/>
  <c r="G154" i="2"/>
  <c r="F154" i="2"/>
  <c r="E154" i="2"/>
  <c r="H153" i="2"/>
  <c r="G153" i="2"/>
  <c r="F153" i="2"/>
  <c r="E153" i="2"/>
  <c r="H152" i="2"/>
  <c r="G152" i="2"/>
  <c r="F152" i="2"/>
  <c r="E152" i="2"/>
  <c r="H151" i="2"/>
  <c r="G151" i="2"/>
  <c r="F151" i="2"/>
  <c r="E151" i="2"/>
  <c r="H150" i="2"/>
  <c r="G150" i="2"/>
  <c r="F150" i="2"/>
  <c r="E150" i="2"/>
  <c r="H149" i="2"/>
  <c r="G149" i="2"/>
  <c r="F149" i="2"/>
  <c r="E149" i="2"/>
  <c r="H148" i="2"/>
  <c r="G148" i="2"/>
  <c r="F148" i="2"/>
  <c r="E148" i="2"/>
  <c r="H147" i="2"/>
  <c r="G147" i="2"/>
  <c r="F147" i="2"/>
  <c r="E147" i="2"/>
  <c r="H146" i="2"/>
  <c r="G146" i="2"/>
  <c r="F146" i="2"/>
  <c r="E146" i="2"/>
  <c r="H145" i="2"/>
  <c r="G145" i="2"/>
  <c r="F145" i="2"/>
  <c r="E145" i="2"/>
  <c r="H144" i="2"/>
  <c r="G144" i="2"/>
  <c r="F144" i="2"/>
  <c r="E144" i="2"/>
  <c r="H143" i="2"/>
  <c r="G143" i="2"/>
  <c r="F143" i="2"/>
  <c r="E143" i="2"/>
  <c r="H142" i="2"/>
  <c r="G142" i="2"/>
  <c r="F142" i="2"/>
  <c r="E142" i="2"/>
  <c r="H141" i="2"/>
  <c r="G141" i="2"/>
  <c r="F141" i="2"/>
  <c r="E141" i="2"/>
  <c r="H140" i="2"/>
  <c r="G140" i="2"/>
  <c r="F140" i="2"/>
  <c r="E140" i="2"/>
  <c r="H139" i="2"/>
  <c r="G139" i="2"/>
  <c r="F139" i="2"/>
  <c r="E139" i="2"/>
  <c r="H138" i="2"/>
  <c r="G138" i="2"/>
  <c r="F138" i="2"/>
  <c r="E138" i="2"/>
  <c r="H137" i="2"/>
  <c r="G137" i="2"/>
  <c r="F137" i="2"/>
  <c r="E137" i="2"/>
  <c r="H136" i="2"/>
  <c r="G136" i="2"/>
  <c r="F136" i="2"/>
  <c r="E136" i="2"/>
  <c r="H135" i="2"/>
  <c r="G135" i="2"/>
  <c r="F135" i="2"/>
  <c r="E135" i="2"/>
  <c r="H134" i="2"/>
  <c r="G134" i="2"/>
  <c r="F134" i="2"/>
  <c r="E134" i="2"/>
  <c r="H133" i="2"/>
  <c r="G133" i="2"/>
  <c r="F133" i="2"/>
  <c r="E133" i="2"/>
  <c r="H132" i="2"/>
  <c r="G132" i="2"/>
  <c r="F132" i="2"/>
  <c r="E132" i="2"/>
  <c r="H131" i="2"/>
  <c r="G131" i="2"/>
  <c r="F131" i="2"/>
  <c r="E131" i="2"/>
  <c r="H130" i="2"/>
  <c r="G130" i="2"/>
  <c r="F130" i="2"/>
  <c r="E130" i="2"/>
  <c r="H129" i="2"/>
  <c r="G129" i="2"/>
  <c r="F129" i="2"/>
  <c r="E129" i="2"/>
  <c r="H128" i="2"/>
  <c r="G128" i="2"/>
  <c r="F128" i="2"/>
  <c r="E128" i="2"/>
  <c r="H127" i="2"/>
  <c r="G127" i="2"/>
  <c r="F127" i="2"/>
  <c r="E127" i="2"/>
  <c r="H126" i="2"/>
  <c r="G126" i="2"/>
  <c r="F126" i="2"/>
  <c r="E126" i="2"/>
  <c r="H125" i="2"/>
  <c r="G125" i="2"/>
  <c r="F125" i="2"/>
  <c r="E125" i="2"/>
  <c r="H124" i="2"/>
  <c r="G124" i="2"/>
  <c r="F124" i="2"/>
  <c r="E124" i="2"/>
  <c r="H123" i="2"/>
  <c r="G123" i="2"/>
  <c r="F123" i="2"/>
  <c r="E123" i="2"/>
  <c r="H122" i="2"/>
  <c r="G122" i="2"/>
  <c r="F122" i="2"/>
  <c r="E122" i="2"/>
  <c r="H121" i="2"/>
  <c r="G121" i="2"/>
  <c r="F121" i="2"/>
  <c r="E121" i="2"/>
  <c r="H120" i="2"/>
  <c r="G120" i="2"/>
  <c r="F120" i="2"/>
  <c r="E120" i="2"/>
  <c r="H119" i="2"/>
  <c r="G119" i="2"/>
  <c r="F119" i="2"/>
  <c r="E119" i="2"/>
  <c r="H118" i="2"/>
  <c r="G118" i="2"/>
  <c r="F118" i="2"/>
  <c r="E118" i="2"/>
  <c r="H117" i="2"/>
  <c r="G117" i="2"/>
  <c r="F117" i="2"/>
  <c r="E117" i="2"/>
  <c r="H116" i="2"/>
  <c r="G116" i="2"/>
  <c r="F116" i="2"/>
  <c r="E116" i="2"/>
  <c r="H115" i="2"/>
  <c r="G115" i="2"/>
  <c r="F115" i="2"/>
  <c r="E115" i="2"/>
  <c r="H114" i="2"/>
  <c r="G114" i="2"/>
  <c r="F114" i="2"/>
  <c r="E114" i="2"/>
  <c r="H113" i="2"/>
  <c r="G113" i="2"/>
  <c r="F113" i="2"/>
  <c r="E113" i="2"/>
  <c r="H112" i="2"/>
  <c r="G112" i="2"/>
  <c r="F112" i="2"/>
  <c r="E112" i="2"/>
  <c r="H111" i="2"/>
  <c r="G111" i="2"/>
  <c r="F111" i="2"/>
  <c r="E111" i="2"/>
  <c r="H110" i="2"/>
  <c r="G110" i="2"/>
  <c r="F110" i="2"/>
  <c r="E110" i="2"/>
  <c r="H109" i="2"/>
  <c r="G109" i="2"/>
  <c r="F109" i="2"/>
  <c r="E109" i="2"/>
  <c r="H108" i="2"/>
  <c r="G108" i="2"/>
  <c r="F108" i="2"/>
  <c r="E108" i="2"/>
  <c r="H107" i="2"/>
  <c r="G107" i="2"/>
  <c r="F107" i="2"/>
  <c r="E107" i="2"/>
  <c r="H106" i="2"/>
  <c r="G106" i="2"/>
  <c r="F106" i="2"/>
  <c r="E106" i="2"/>
  <c r="H105" i="2"/>
  <c r="G105" i="2"/>
  <c r="F105" i="2"/>
  <c r="E105" i="2"/>
  <c r="H104" i="2"/>
  <c r="G104" i="2"/>
  <c r="F104" i="2"/>
  <c r="E104" i="2"/>
  <c r="H103" i="2"/>
  <c r="G103" i="2"/>
  <c r="F103" i="2"/>
  <c r="E103" i="2"/>
  <c r="H102" i="2"/>
  <c r="G102" i="2"/>
  <c r="F102" i="2"/>
  <c r="E102" i="2"/>
  <c r="H101" i="2"/>
  <c r="G101" i="2"/>
  <c r="F101" i="2"/>
  <c r="E101" i="2"/>
  <c r="H100" i="2"/>
  <c r="G100" i="2"/>
  <c r="F100" i="2"/>
  <c r="E100" i="2"/>
  <c r="H99" i="2"/>
  <c r="G99" i="2"/>
  <c r="F99" i="2"/>
  <c r="E99" i="2"/>
  <c r="H98" i="2"/>
  <c r="G98" i="2"/>
  <c r="F98" i="2"/>
  <c r="E98" i="2"/>
  <c r="H97" i="2"/>
  <c r="G97" i="2"/>
  <c r="F97" i="2"/>
  <c r="E97" i="2"/>
  <c r="H96" i="2"/>
  <c r="G96" i="2"/>
  <c r="F96" i="2"/>
  <c r="E96" i="2"/>
  <c r="H95" i="2"/>
  <c r="G95" i="2"/>
  <c r="F95" i="2"/>
  <c r="E95" i="2"/>
  <c r="H94" i="2"/>
  <c r="G94" i="2"/>
  <c r="F94" i="2"/>
  <c r="E94" i="2"/>
  <c r="H93" i="2"/>
  <c r="G93" i="2"/>
  <c r="F93" i="2"/>
  <c r="E93" i="2"/>
  <c r="H92" i="2"/>
  <c r="G92" i="2"/>
  <c r="F92" i="2"/>
  <c r="E92" i="2"/>
  <c r="H91" i="2"/>
  <c r="G91" i="2"/>
  <c r="F91" i="2"/>
  <c r="E91" i="2"/>
  <c r="H90" i="2"/>
  <c r="G90" i="2"/>
  <c r="F90" i="2"/>
  <c r="E90" i="2"/>
  <c r="H89" i="2"/>
  <c r="G89" i="2"/>
  <c r="F89" i="2"/>
  <c r="E89" i="2"/>
  <c r="H88" i="2"/>
  <c r="G88" i="2"/>
  <c r="F88" i="2"/>
  <c r="E88" i="2"/>
  <c r="H87" i="2"/>
  <c r="G87" i="2"/>
  <c r="F87" i="2"/>
  <c r="E87" i="2"/>
  <c r="H86" i="2"/>
  <c r="G86" i="2"/>
  <c r="F86" i="2"/>
  <c r="E86" i="2"/>
  <c r="H85" i="2"/>
  <c r="G85" i="2"/>
  <c r="F85" i="2"/>
  <c r="E85" i="2"/>
  <c r="H84" i="2"/>
  <c r="G84" i="2"/>
  <c r="F84" i="2"/>
  <c r="E84" i="2"/>
  <c r="H83" i="2"/>
  <c r="G83" i="2"/>
  <c r="F83" i="2"/>
  <c r="E83" i="2"/>
  <c r="H82" i="2"/>
  <c r="G82" i="2"/>
  <c r="F82" i="2"/>
  <c r="E82" i="2"/>
  <c r="H81" i="2"/>
  <c r="G81" i="2"/>
  <c r="F81" i="2"/>
  <c r="E81" i="2"/>
  <c r="H80" i="2"/>
  <c r="G80" i="2"/>
  <c r="F80" i="2"/>
  <c r="E80" i="2"/>
  <c r="H79" i="2"/>
  <c r="G79" i="2"/>
  <c r="F79" i="2"/>
  <c r="E79" i="2"/>
  <c r="H78" i="2"/>
  <c r="G78" i="2"/>
  <c r="F78" i="2"/>
  <c r="E78" i="2"/>
  <c r="H77" i="2"/>
  <c r="G77" i="2"/>
  <c r="F77" i="2"/>
  <c r="E77" i="2"/>
  <c r="H76" i="2"/>
  <c r="G76" i="2"/>
  <c r="F76" i="2"/>
  <c r="E76" i="2"/>
  <c r="H75" i="2"/>
  <c r="G75" i="2"/>
  <c r="F75" i="2"/>
  <c r="E75" i="2"/>
  <c r="H74" i="2"/>
  <c r="G74" i="2"/>
  <c r="F74" i="2"/>
  <c r="E74" i="2"/>
  <c r="H73" i="2"/>
  <c r="G73" i="2"/>
  <c r="F73" i="2"/>
  <c r="E73" i="2"/>
  <c r="H72" i="2"/>
  <c r="G72" i="2"/>
  <c r="F72" i="2"/>
  <c r="E72" i="2"/>
  <c r="H71" i="2"/>
  <c r="G71" i="2"/>
  <c r="F71" i="2"/>
  <c r="E71" i="2"/>
  <c r="H70" i="2"/>
  <c r="G70" i="2"/>
  <c r="F70" i="2"/>
  <c r="E70" i="2"/>
  <c r="H69" i="2"/>
  <c r="G69" i="2"/>
  <c r="F69" i="2"/>
  <c r="E69" i="2"/>
  <c r="H68" i="2"/>
  <c r="G68" i="2"/>
  <c r="F68" i="2"/>
  <c r="E68" i="2"/>
  <c r="H67" i="2"/>
  <c r="G67" i="2"/>
  <c r="F67" i="2"/>
  <c r="E67" i="2"/>
  <c r="H66" i="2"/>
  <c r="G66" i="2"/>
  <c r="F66" i="2"/>
  <c r="E66" i="2"/>
  <c r="H65" i="2"/>
  <c r="G65" i="2"/>
  <c r="F65" i="2"/>
  <c r="E65" i="2"/>
  <c r="H64" i="2"/>
  <c r="G64" i="2"/>
  <c r="F64" i="2"/>
  <c r="E64" i="2"/>
  <c r="H63" i="2"/>
  <c r="G63" i="2"/>
  <c r="F63" i="2"/>
  <c r="E63" i="2"/>
  <c r="H62" i="2"/>
  <c r="G62" i="2"/>
  <c r="F62" i="2"/>
  <c r="E62" i="2"/>
  <c r="H61" i="2"/>
  <c r="G61" i="2"/>
  <c r="F61" i="2"/>
  <c r="E61" i="2"/>
  <c r="H60" i="2"/>
  <c r="G60" i="2"/>
  <c r="F60" i="2"/>
  <c r="E60" i="2"/>
  <c r="H59" i="2"/>
  <c r="G59" i="2"/>
  <c r="F59" i="2"/>
  <c r="E59" i="2"/>
  <c r="H58" i="2"/>
  <c r="G58" i="2"/>
  <c r="F58" i="2"/>
  <c r="E58" i="2"/>
  <c r="H57" i="2"/>
  <c r="G57" i="2"/>
  <c r="F57" i="2"/>
  <c r="E57" i="2"/>
  <c r="H56" i="2"/>
  <c r="G56" i="2"/>
  <c r="F56" i="2"/>
  <c r="E56" i="2"/>
  <c r="H55" i="2"/>
  <c r="G55" i="2"/>
  <c r="F55" i="2"/>
  <c r="E55" i="2"/>
  <c r="H54" i="2"/>
  <c r="G54" i="2"/>
  <c r="F54" i="2"/>
  <c r="E54" i="2"/>
  <c r="H53" i="2"/>
  <c r="G53" i="2"/>
  <c r="F53" i="2"/>
  <c r="E53" i="2"/>
  <c r="H52" i="2"/>
  <c r="G52" i="2"/>
  <c r="F52" i="2"/>
  <c r="E52" i="2"/>
  <c r="H51" i="2"/>
  <c r="G51" i="2"/>
  <c r="F51" i="2"/>
  <c r="E51" i="2"/>
  <c r="H50" i="2"/>
  <c r="G50" i="2"/>
  <c r="F50" i="2"/>
  <c r="E50" i="2"/>
  <c r="H49" i="2"/>
  <c r="G49" i="2"/>
  <c r="F49" i="2"/>
  <c r="E49" i="2"/>
  <c r="H48" i="2"/>
  <c r="G48" i="2"/>
  <c r="F48" i="2"/>
  <c r="E48" i="2"/>
  <c r="H47" i="2"/>
  <c r="G47" i="2"/>
  <c r="F47" i="2"/>
  <c r="E47" i="2"/>
  <c r="H46" i="2"/>
  <c r="G46" i="2"/>
  <c r="F46" i="2"/>
  <c r="E46" i="2"/>
  <c r="H45" i="2"/>
  <c r="G45" i="2"/>
  <c r="F45" i="2"/>
  <c r="E45" i="2"/>
  <c r="H44" i="2"/>
  <c r="G44" i="2"/>
  <c r="F44" i="2"/>
  <c r="E44" i="2"/>
  <c r="H43" i="2"/>
  <c r="G43" i="2"/>
  <c r="F43" i="2"/>
  <c r="E43" i="2"/>
  <c r="H42" i="2"/>
  <c r="G42" i="2"/>
  <c r="F42" i="2"/>
  <c r="E42" i="2"/>
  <c r="H41" i="2"/>
  <c r="G41" i="2"/>
  <c r="F41" i="2"/>
  <c r="E41" i="2"/>
  <c r="H40" i="2"/>
  <c r="G40" i="2"/>
  <c r="F40" i="2"/>
  <c r="E40" i="2"/>
  <c r="H39" i="2"/>
  <c r="G39" i="2"/>
  <c r="F39" i="2"/>
  <c r="E39" i="2"/>
  <c r="H38" i="2"/>
  <c r="G38" i="2"/>
  <c r="F38" i="2"/>
  <c r="E38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6" i="2"/>
  <c r="G16" i="2"/>
  <c r="F16" i="2"/>
  <c r="E16" i="2"/>
  <c r="H15" i="2"/>
  <c r="G15" i="2"/>
  <c r="F15" i="2"/>
  <c r="E15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  <c r="I288" i="3" a="1"/>
  <c r="I288" i="3"/>
  <c r="H288" i="3"/>
  <c r="G288" i="3" a="1"/>
  <c r="G288" i="3"/>
  <c r="F288" i="3" a="1"/>
  <c r="F288" i="3"/>
  <c r="E288" i="3" a="1"/>
  <c r="E288" i="3"/>
  <c r="I287" i="3" a="1"/>
  <c r="I287" i="3"/>
  <c r="H287" i="3"/>
  <c r="G287" i="3" a="1"/>
  <c r="G287" i="3"/>
  <c r="F287" i="3" a="1"/>
  <c r="F287" i="3"/>
  <c r="E287" i="3" a="1"/>
  <c r="E287" i="3"/>
  <c r="I286" i="3" a="1"/>
  <c r="I286" i="3"/>
  <c r="H286" i="3"/>
  <c r="G286" i="3" a="1"/>
  <c r="G286" i="3"/>
  <c r="F286" i="3" a="1"/>
  <c r="F286" i="3"/>
  <c r="E286" i="3" a="1"/>
  <c r="E286" i="3"/>
  <c r="I285" i="3" a="1"/>
  <c r="I285" i="3"/>
  <c r="H285" i="3"/>
  <c r="G285" i="3" a="1"/>
  <c r="G285" i="3"/>
  <c r="F285" i="3" a="1"/>
  <c r="F285" i="3"/>
  <c r="E285" i="3" a="1"/>
  <c r="E285" i="3"/>
  <c r="I284" i="3" a="1"/>
  <c r="I284" i="3"/>
  <c r="H284" i="3"/>
  <c r="G284" i="3" a="1"/>
  <c r="G284" i="3"/>
  <c r="F284" i="3" a="1"/>
  <c r="F284" i="3"/>
  <c r="E284" i="3" a="1"/>
  <c r="E284" i="3"/>
  <c r="I283" i="3" a="1"/>
  <c r="I283" i="3"/>
  <c r="H283" i="3"/>
  <c r="G283" i="3" a="1"/>
  <c r="G283" i="3"/>
  <c r="F283" i="3" a="1"/>
  <c r="F283" i="3"/>
  <c r="E283" i="3" a="1"/>
  <c r="E283" i="3"/>
  <c r="I282" i="3" a="1"/>
  <c r="I282" i="3"/>
  <c r="H282" i="3"/>
  <c r="G282" i="3" a="1"/>
  <c r="G282" i="3"/>
  <c r="F282" i="3" a="1"/>
  <c r="F282" i="3"/>
  <c r="E282" i="3" a="1"/>
  <c r="E282" i="3"/>
  <c r="I281" i="3" a="1"/>
  <c r="I281" i="3"/>
  <c r="H281" i="3"/>
  <c r="G281" i="3" a="1"/>
  <c r="G281" i="3"/>
  <c r="F281" i="3" a="1"/>
  <c r="F281" i="3"/>
  <c r="E281" i="3" a="1"/>
  <c r="E281" i="3"/>
  <c r="I280" i="3" a="1"/>
  <c r="I280" i="3"/>
  <c r="H280" i="3"/>
  <c r="G280" i="3" a="1"/>
  <c r="G280" i="3"/>
  <c r="F280" i="3" a="1"/>
  <c r="F280" i="3"/>
  <c r="E280" i="3" a="1"/>
  <c r="E280" i="3"/>
  <c r="I279" i="3" a="1"/>
  <c r="I279" i="3"/>
  <c r="H279" i="3"/>
  <c r="G279" i="3" a="1"/>
  <c r="G279" i="3"/>
  <c r="F279" i="3" a="1"/>
  <c r="F279" i="3"/>
  <c r="E279" i="3" a="1"/>
  <c r="E279" i="3"/>
  <c r="I278" i="3" a="1"/>
  <c r="I278" i="3"/>
  <c r="H278" i="3"/>
  <c r="G278" i="3" a="1"/>
  <c r="G278" i="3"/>
  <c r="F278" i="3" a="1"/>
  <c r="F278" i="3"/>
  <c r="E278" i="3" a="1"/>
  <c r="E278" i="3"/>
  <c r="I277" i="3" a="1"/>
  <c r="I277" i="3"/>
  <c r="H277" i="3"/>
  <c r="G277" i="3" a="1"/>
  <c r="G277" i="3"/>
  <c r="F277" i="3" a="1"/>
  <c r="F277" i="3"/>
  <c r="E277" i="3" a="1"/>
  <c r="E277" i="3"/>
  <c r="I276" i="3" a="1"/>
  <c r="I276" i="3"/>
  <c r="H276" i="3"/>
  <c r="G276" i="3" a="1"/>
  <c r="G276" i="3"/>
  <c r="F276" i="3" a="1"/>
  <c r="F276" i="3"/>
  <c r="E276" i="3" a="1"/>
  <c r="E276" i="3"/>
  <c r="I275" i="3" a="1"/>
  <c r="I275" i="3"/>
  <c r="H275" i="3"/>
  <c r="G275" i="3" a="1"/>
  <c r="G275" i="3"/>
  <c r="F275" i="3" a="1"/>
  <c r="F275" i="3"/>
  <c r="E275" i="3" a="1"/>
  <c r="E275" i="3"/>
  <c r="I274" i="3" a="1"/>
  <c r="I274" i="3"/>
  <c r="H274" i="3"/>
  <c r="G274" i="3" a="1"/>
  <c r="G274" i="3"/>
  <c r="F274" i="3" a="1"/>
  <c r="F274" i="3"/>
  <c r="E274" i="3" a="1"/>
  <c r="E274" i="3"/>
  <c r="I273" i="3" a="1"/>
  <c r="I273" i="3"/>
  <c r="H273" i="3"/>
  <c r="G273" i="3" a="1"/>
  <c r="G273" i="3"/>
  <c r="F273" i="3" a="1"/>
  <c r="F273" i="3"/>
  <c r="E273" i="3" a="1"/>
  <c r="E273" i="3"/>
  <c r="I272" i="3" a="1"/>
  <c r="I272" i="3"/>
  <c r="H272" i="3"/>
  <c r="G272" i="3" a="1"/>
  <c r="G272" i="3"/>
  <c r="F272" i="3" a="1"/>
  <c r="F272" i="3"/>
  <c r="E272" i="3" a="1"/>
  <c r="E272" i="3"/>
  <c r="I271" i="3" a="1"/>
  <c r="I271" i="3"/>
  <c r="H271" i="3"/>
  <c r="G271" i="3" a="1"/>
  <c r="G271" i="3"/>
  <c r="F271" i="3" a="1"/>
  <c r="F271" i="3"/>
  <c r="E271" i="3" a="1"/>
  <c r="E271" i="3"/>
  <c r="I270" i="3" a="1"/>
  <c r="I270" i="3"/>
  <c r="H270" i="3"/>
  <c r="G270" i="3" a="1"/>
  <c r="G270" i="3"/>
  <c r="F270" i="3" a="1"/>
  <c r="F270" i="3"/>
  <c r="E270" i="3" a="1"/>
  <c r="E270" i="3"/>
  <c r="I269" i="3" a="1"/>
  <c r="I269" i="3"/>
  <c r="H269" i="3"/>
  <c r="G269" i="3" a="1"/>
  <c r="G269" i="3"/>
  <c r="F269" i="3" a="1"/>
  <c r="F269" i="3"/>
  <c r="E269" i="3" a="1"/>
  <c r="E269" i="3"/>
  <c r="I268" i="3" a="1"/>
  <c r="I268" i="3"/>
  <c r="H268" i="3"/>
  <c r="G268" i="3" a="1"/>
  <c r="G268" i="3"/>
  <c r="F268" i="3" a="1"/>
  <c r="F268" i="3"/>
  <c r="E268" i="3" a="1"/>
  <c r="E268" i="3"/>
  <c r="I267" i="3" a="1"/>
  <c r="I267" i="3"/>
  <c r="H267" i="3"/>
  <c r="G267" i="3" a="1"/>
  <c r="G267" i="3"/>
  <c r="F267" i="3" a="1"/>
  <c r="F267" i="3"/>
  <c r="E267" i="3" a="1"/>
  <c r="E267" i="3"/>
  <c r="I266" i="3" a="1"/>
  <c r="I266" i="3"/>
  <c r="H266" i="3"/>
  <c r="G266" i="3" a="1"/>
  <c r="G266" i="3"/>
  <c r="F266" i="3" a="1"/>
  <c r="F266" i="3"/>
  <c r="E266" i="3" a="1"/>
  <c r="E266" i="3"/>
  <c r="I265" i="3" a="1"/>
  <c r="I265" i="3"/>
  <c r="H265" i="3"/>
  <c r="G265" i="3" a="1"/>
  <c r="G265" i="3"/>
  <c r="F265" i="3" a="1"/>
  <c r="F265" i="3"/>
  <c r="E265" i="3" a="1"/>
  <c r="E265" i="3"/>
  <c r="I264" i="3" a="1"/>
  <c r="I264" i="3"/>
  <c r="H264" i="3"/>
  <c r="G264" i="3" a="1"/>
  <c r="G264" i="3"/>
  <c r="F264" i="3" a="1"/>
  <c r="F264" i="3"/>
  <c r="E264" i="3" a="1"/>
  <c r="E264" i="3"/>
  <c r="I263" i="3" a="1"/>
  <c r="I263" i="3"/>
  <c r="H263" i="3"/>
  <c r="G263" i="3" a="1"/>
  <c r="G263" i="3"/>
  <c r="F263" i="3" a="1"/>
  <c r="F263" i="3"/>
  <c r="E263" i="3" a="1"/>
  <c r="E263" i="3"/>
  <c r="I262" i="3" a="1"/>
  <c r="I262" i="3"/>
  <c r="H262" i="3"/>
  <c r="G262" i="3" a="1"/>
  <c r="G262" i="3"/>
  <c r="F262" i="3" a="1"/>
  <c r="F262" i="3"/>
  <c r="E262" i="3" a="1"/>
  <c r="E262" i="3"/>
  <c r="I261" i="3" a="1"/>
  <c r="I261" i="3"/>
  <c r="H261" i="3"/>
  <c r="G261" i="3" a="1"/>
  <c r="G261" i="3"/>
  <c r="F261" i="3" a="1"/>
  <c r="F261" i="3"/>
  <c r="E261" i="3" a="1"/>
  <c r="E261" i="3"/>
  <c r="I260" i="3" a="1"/>
  <c r="I260" i="3"/>
  <c r="H260" i="3"/>
  <c r="G260" i="3" a="1"/>
  <c r="G260" i="3"/>
  <c r="F260" i="3" a="1"/>
  <c r="F260" i="3"/>
  <c r="E260" i="3" a="1"/>
  <c r="E260" i="3"/>
  <c r="I259" i="3" a="1"/>
  <c r="I259" i="3"/>
  <c r="H259" i="3"/>
  <c r="G259" i="3" a="1"/>
  <c r="G259" i="3"/>
  <c r="F259" i="3" a="1"/>
  <c r="F259" i="3"/>
  <c r="E259" i="3" a="1"/>
  <c r="E259" i="3"/>
  <c r="I258" i="3" a="1"/>
  <c r="I258" i="3"/>
  <c r="H258" i="3"/>
  <c r="G258" i="3" a="1"/>
  <c r="G258" i="3"/>
  <c r="F258" i="3" a="1"/>
  <c r="F258" i="3"/>
  <c r="E258" i="3" a="1"/>
  <c r="E258" i="3"/>
  <c r="I257" i="3" a="1"/>
  <c r="I257" i="3"/>
  <c r="H257" i="3"/>
  <c r="G257" i="3" a="1"/>
  <c r="G257" i="3"/>
  <c r="F257" i="3" a="1"/>
  <c r="F257" i="3"/>
  <c r="E257" i="3" a="1"/>
  <c r="E257" i="3"/>
  <c r="I256" i="3" a="1"/>
  <c r="I256" i="3"/>
  <c r="H256" i="3"/>
  <c r="G256" i="3" a="1"/>
  <c r="G256" i="3"/>
  <c r="F256" i="3" a="1"/>
  <c r="F256" i="3"/>
  <c r="E256" i="3" a="1"/>
  <c r="E256" i="3"/>
  <c r="I255" i="3" a="1"/>
  <c r="I255" i="3"/>
  <c r="H255" i="3"/>
  <c r="G255" i="3" a="1"/>
  <c r="G255" i="3"/>
  <c r="F255" i="3" a="1"/>
  <c r="F255" i="3"/>
  <c r="E255" i="3" a="1"/>
  <c r="E255" i="3"/>
  <c r="I254" i="3" a="1"/>
  <c r="I254" i="3"/>
  <c r="H254" i="3"/>
  <c r="G254" i="3" a="1"/>
  <c r="G254" i="3"/>
  <c r="F254" i="3" a="1"/>
  <c r="F254" i="3"/>
  <c r="E254" i="3" a="1"/>
  <c r="E254" i="3"/>
  <c r="I253" i="3" a="1"/>
  <c r="I253" i="3"/>
  <c r="H253" i="3"/>
  <c r="G253" i="3" a="1"/>
  <c r="G253" i="3"/>
  <c r="F253" i="3" a="1"/>
  <c r="F253" i="3"/>
  <c r="E253" i="3" a="1"/>
  <c r="E253" i="3"/>
  <c r="I252" i="3" a="1"/>
  <c r="I252" i="3"/>
  <c r="H252" i="3"/>
  <c r="G252" i="3" a="1"/>
  <c r="G252" i="3"/>
  <c r="F252" i="3" a="1"/>
  <c r="F252" i="3"/>
  <c r="E252" i="3" a="1"/>
  <c r="E252" i="3"/>
  <c r="I251" i="3" a="1"/>
  <c r="I251" i="3"/>
  <c r="H251" i="3"/>
  <c r="G251" i="3" a="1"/>
  <c r="G251" i="3"/>
  <c r="F251" i="3" a="1"/>
  <c r="F251" i="3"/>
  <c r="E251" i="3" a="1"/>
  <c r="E251" i="3"/>
  <c r="I250" i="3" a="1"/>
  <c r="I250" i="3"/>
  <c r="H250" i="3"/>
  <c r="G250" i="3" a="1"/>
  <c r="G250" i="3"/>
  <c r="F250" i="3" a="1"/>
  <c r="F250" i="3"/>
  <c r="E250" i="3" a="1"/>
  <c r="E250" i="3"/>
  <c r="I249" i="3" a="1"/>
  <c r="I249" i="3"/>
  <c r="H249" i="3"/>
  <c r="G249" i="3" a="1"/>
  <c r="G249" i="3"/>
  <c r="F249" i="3" a="1"/>
  <c r="F249" i="3"/>
  <c r="E249" i="3" a="1"/>
  <c r="E249" i="3"/>
  <c r="I248" i="3" a="1"/>
  <c r="I248" i="3"/>
  <c r="H248" i="3"/>
  <c r="G248" i="3" a="1"/>
  <c r="G248" i="3"/>
  <c r="F248" i="3" a="1"/>
  <c r="F248" i="3"/>
  <c r="E248" i="3" a="1"/>
  <c r="E248" i="3"/>
  <c r="I247" i="3" a="1"/>
  <c r="I247" i="3"/>
  <c r="H247" i="3"/>
  <c r="G247" i="3" a="1"/>
  <c r="G247" i="3"/>
  <c r="F247" i="3" a="1"/>
  <c r="F247" i="3"/>
  <c r="E247" i="3" a="1"/>
  <c r="E247" i="3"/>
  <c r="I246" i="3" a="1"/>
  <c r="I246" i="3"/>
  <c r="H246" i="3"/>
  <c r="G246" i="3" a="1"/>
  <c r="G246" i="3"/>
  <c r="F246" i="3" a="1"/>
  <c r="F246" i="3"/>
  <c r="E246" i="3" a="1"/>
  <c r="E246" i="3"/>
  <c r="I245" i="3" a="1"/>
  <c r="I245" i="3"/>
  <c r="H245" i="3"/>
  <c r="G245" i="3" a="1"/>
  <c r="G245" i="3"/>
  <c r="F245" i="3" a="1"/>
  <c r="F245" i="3"/>
  <c r="E245" i="3" a="1"/>
  <c r="E245" i="3"/>
  <c r="I244" i="3" a="1"/>
  <c r="I244" i="3"/>
  <c r="H244" i="3"/>
  <c r="G244" i="3" a="1"/>
  <c r="G244" i="3"/>
  <c r="F244" i="3" a="1"/>
  <c r="F244" i="3"/>
  <c r="E244" i="3" a="1"/>
  <c r="E244" i="3"/>
  <c r="I243" i="3" a="1"/>
  <c r="I243" i="3"/>
  <c r="H243" i="3"/>
  <c r="G243" i="3" a="1"/>
  <c r="G243" i="3"/>
  <c r="F243" i="3" a="1"/>
  <c r="F243" i="3"/>
  <c r="E243" i="3" a="1"/>
  <c r="E243" i="3"/>
  <c r="I242" i="3" a="1"/>
  <c r="I242" i="3"/>
  <c r="H242" i="3"/>
  <c r="G242" i="3" a="1"/>
  <c r="G242" i="3"/>
  <c r="F242" i="3" a="1"/>
  <c r="F242" i="3"/>
  <c r="E242" i="3" a="1"/>
  <c r="E242" i="3"/>
  <c r="I241" i="3" a="1"/>
  <c r="I241" i="3"/>
  <c r="H241" i="3"/>
  <c r="G241" i="3" a="1"/>
  <c r="G241" i="3"/>
  <c r="F241" i="3" a="1"/>
  <c r="F241" i="3"/>
  <c r="E241" i="3" a="1"/>
  <c r="E241" i="3"/>
  <c r="I240" i="3" a="1"/>
  <c r="I240" i="3"/>
  <c r="H240" i="3"/>
  <c r="G240" i="3" a="1"/>
  <c r="G240" i="3"/>
  <c r="F240" i="3" a="1"/>
  <c r="F240" i="3"/>
  <c r="E240" i="3" a="1"/>
  <c r="E240" i="3"/>
  <c r="I239" i="3" a="1"/>
  <c r="I239" i="3"/>
  <c r="H239" i="3"/>
  <c r="G239" i="3" a="1"/>
  <c r="G239" i="3"/>
  <c r="F239" i="3" a="1"/>
  <c r="F239" i="3"/>
  <c r="E239" i="3" a="1"/>
  <c r="E239" i="3"/>
  <c r="I238" i="3" a="1"/>
  <c r="I238" i="3"/>
  <c r="H238" i="3"/>
  <c r="G238" i="3" a="1"/>
  <c r="G238" i="3"/>
  <c r="F238" i="3" a="1"/>
  <c r="F238" i="3"/>
  <c r="E238" i="3" a="1"/>
  <c r="E238" i="3"/>
  <c r="I237" i="3" a="1"/>
  <c r="I237" i="3"/>
  <c r="H237" i="3"/>
  <c r="G237" i="3" a="1"/>
  <c r="G237" i="3"/>
  <c r="F237" i="3" a="1"/>
  <c r="F237" i="3"/>
  <c r="E237" i="3" a="1"/>
  <c r="E237" i="3"/>
  <c r="I236" i="3" a="1"/>
  <c r="I236" i="3"/>
  <c r="H236" i="3"/>
  <c r="G236" i="3" a="1"/>
  <c r="G236" i="3"/>
  <c r="F236" i="3" a="1"/>
  <c r="F236" i="3"/>
  <c r="E236" i="3" a="1"/>
  <c r="E236" i="3"/>
  <c r="I235" i="3" a="1"/>
  <c r="I235" i="3"/>
  <c r="H235" i="3"/>
  <c r="G235" i="3" a="1"/>
  <c r="G235" i="3"/>
  <c r="F235" i="3" a="1"/>
  <c r="F235" i="3"/>
  <c r="E235" i="3" a="1"/>
  <c r="E235" i="3"/>
  <c r="I234" i="3" a="1"/>
  <c r="I234" i="3"/>
  <c r="H234" i="3"/>
  <c r="G234" i="3" a="1"/>
  <c r="G234" i="3"/>
  <c r="F234" i="3" a="1"/>
  <c r="F234" i="3"/>
  <c r="E234" i="3" a="1"/>
  <c r="E234" i="3"/>
  <c r="I233" i="3" a="1"/>
  <c r="I233" i="3"/>
  <c r="H233" i="3"/>
  <c r="G233" i="3" a="1"/>
  <c r="G233" i="3"/>
  <c r="F233" i="3" a="1"/>
  <c r="F233" i="3"/>
  <c r="E233" i="3" a="1"/>
  <c r="E233" i="3"/>
  <c r="I232" i="3" a="1"/>
  <c r="I232" i="3"/>
  <c r="H232" i="3"/>
  <c r="G232" i="3" a="1"/>
  <c r="G232" i="3"/>
  <c r="F232" i="3" a="1"/>
  <c r="F232" i="3"/>
  <c r="E232" i="3" a="1"/>
  <c r="E232" i="3"/>
  <c r="I231" i="3" a="1"/>
  <c r="I231" i="3"/>
  <c r="H231" i="3"/>
  <c r="G231" i="3" a="1"/>
  <c r="G231" i="3"/>
  <c r="F231" i="3" a="1"/>
  <c r="F231" i="3"/>
  <c r="E231" i="3" a="1"/>
  <c r="E231" i="3"/>
  <c r="I230" i="3" a="1"/>
  <c r="I230" i="3"/>
  <c r="H230" i="3"/>
  <c r="G230" i="3" a="1"/>
  <c r="G230" i="3"/>
  <c r="F230" i="3" a="1"/>
  <c r="F230" i="3"/>
  <c r="E230" i="3" a="1"/>
  <c r="E230" i="3"/>
  <c r="I229" i="3" a="1"/>
  <c r="I229" i="3"/>
  <c r="H229" i="3"/>
  <c r="G229" i="3" a="1"/>
  <c r="G229" i="3"/>
  <c r="F229" i="3" a="1"/>
  <c r="F229" i="3"/>
  <c r="E229" i="3" a="1"/>
  <c r="E229" i="3"/>
  <c r="I228" i="3" a="1"/>
  <c r="I228" i="3"/>
  <c r="H228" i="3"/>
  <c r="G228" i="3" a="1"/>
  <c r="G228" i="3"/>
  <c r="F228" i="3" a="1"/>
  <c r="F228" i="3"/>
  <c r="E228" i="3" a="1"/>
  <c r="E228" i="3"/>
  <c r="I227" i="3" a="1"/>
  <c r="I227" i="3"/>
  <c r="H227" i="3"/>
  <c r="G227" i="3" a="1"/>
  <c r="G227" i="3"/>
  <c r="F227" i="3" a="1"/>
  <c r="F227" i="3"/>
  <c r="E227" i="3" a="1"/>
  <c r="E227" i="3"/>
  <c r="I226" i="3" a="1"/>
  <c r="I226" i="3"/>
  <c r="H226" i="3"/>
  <c r="G226" i="3" a="1"/>
  <c r="G226" i="3"/>
  <c r="F226" i="3" a="1"/>
  <c r="F226" i="3"/>
  <c r="E226" i="3" a="1"/>
  <c r="E226" i="3"/>
  <c r="I225" i="3" a="1"/>
  <c r="I225" i="3"/>
  <c r="H225" i="3"/>
  <c r="G225" i="3" a="1"/>
  <c r="G225" i="3"/>
  <c r="F225" i="3" a="1"/>
  <c r="F225" i="3"/>
  <c r="E225" i="3" a="1"/>
  <c r="E225" i="3"/>
  <c r="I224" i="3" a="1"/>
  <c r="I224" i="3"/>
  <c r="H224" i="3"/>
  <c r="G224" i="3" a="1"/>
  <c r="G224" i="3"/>
  <c r="F224" i="3" a="1"/>
  <c r="F224" i="3"/>
  <c r="E224" i="3" a="1"/>
  <c r="E224" i="3"/>
  <c r="I223" i="3" a="1"/>
  <c r="I223" i="3"/>
  <c r="H223" i="3"/>
  <c r="G223" i="3" a="1"/>
  <c r="G223" i="3"/>
  <c r="F223" i="3" a="1"/>
  <c r="F223" i="3"/>
  <c r="E223" i="3" a="1"/>
  <c r="E223" i="3"/>
  <c r="I222" i="3" a="1"/>
  <c r="I222" i="3"/>
  <c r="H222" i="3"/>
  <c r="G222" i="3" a="1"/>
  <c r="G222" i="3"/>
  <c r="F222" i="3" a="1"/>
  <c r="F222" i="3"/>
  <c r="E222" i="3" a="1"/>
  <c r="E222" i="3"/>
  <c r="I221" i="3" a="1"/>
  <c r="I221" i="3"/>
  <c r="H221" i="3"/>
  <c r="G221" i="3" a="1"/>
  <c r="G221" i="3"/>
  <c r="F221" i="3" a="1"/>
  <c r="F221" i="3"/>
  <c r="E221" i="3" a="1"/>
  <c r="E221" i="3"/>
  <c r="I220" i="3" a="1"/>
  <c r="I220" i="3"/>
  <c r="H220" i="3"/>
  <c r="G220" i="3" a="1"/>
  <c r="G220" i="3"/>
  <c r="F220" i="3" a="1"/>
  <c r="F220" i="3"/>
  <c r="E220" i="3" a="1"/>
  <c r="E220" i="3"/>
  <c r="I219" i="3" a="1"/>
  <c r="I219" i="3"/>
  <c r="H219" i="3"/>
  <c r="G219" i="3" a="1"/>
  <c r="G219" i="3"/>
  <c r="F219" i="3" a="1"/>
  <c r="F219" i="3"/>
  <c r="E219" i="3" a="1"/>
  <c r="E219" i="3"/>
  <c r="I218" i="3" a="1"/>
  <c r="I218" i="3"/>
  <c r="H218" i="3"/>
  <c r="G218" i="3" a="1"/>
  <c r="G218" i="3"/>
  <c r="F218" i="3" a="1"/>
  <c r="F218" i="3"/>
  <c r="E218" i="3" a="1"/>
  <c r="E218" i="3"/>
  <c r="I217" i="3" a="1"/>
  <c r="I217" i="3"/>
  <c r="H217" i="3"/>
  <c r="G217" i="3" a="1"/>
  <c r="G217" i="3"/>
  <c r="F217" i="3" a="1"/>
  <c r="F217" i="3"/>
  <c r="E217" i="3" a="1"/>
  <c r="E217" i="3"/>
  <c r="I216" i="3" a="1"/>
  <c r="I216" i="3"/>
  <c r="H216" i="3"/>
  <c r="G216" i="3" a="1"/>
  <c r="G216" i="3"/>
  <c r="F216" i="3" a="1"/>
  <c r="F216" i="3"/>
  <c r="E216" i="3" a="1"/>
  <c r="E216" i="3"/>
  <c r="I215" i="3" a="1"/>
  <c r="I215" i="3"/>
  <c r="H215" i="3"/>
  <c r="G215" i="3" a="1"/>
  <c r="G215" i="3"/>
  <c r="F215" i="3" a="1"/>
  <c r="F215" i="3"/>
  <c r="E215" i="3" a="1"/>
  <c r="E215" i="3"/>
  <c r="I214" i="3" a="1"/>
  <c r="I214" i="3"/>
  <c r="H214" i="3"/>
  <c r="G214" i="3" a="1"/>
  <c r="G214" i="3"/>
  <c r="F214" i="3" a="1"/>
  <c r="F214" i="3"/>
  <c r="E214" i="3" a="1"/>
  <c r="E214" i="3"/>
  <c r="I213" i="3" a="1"/>
  <c r="I213" i="3"/>
  <c r="H213" i="3"/>
  <c r="G213" i="3" a="1"/>
  <c r="G213" i="3"/>
  <c r="F213" i="3" a="1"/>
  <c r="F213" i="3"/>
  <c r="E213" i="3" a="1"/>
  <c r="E213" i="3"/>
  <c r="I212" i="3" a="1"/>
  <c r="I212" i="3"/>
  <c r="H212" i="3"/>
  <c r="G212" i="3" a="1"/>
  <c r="G212" i="3"/>
  <c r="F212" i="3" a="1"/>
  <c r="F212" i="3"/>
  <c r="E212" i="3" a="1"/>
  <c r="E212" i="3"/>
  <c r="I211" i="3" a="1"/>
  <c r="I211" i="3"/>
  <c r="H211" i="3"/>
  <c r="G211" i="3" a="1"/>
  <c r="G211" i="3"/>
  <c r="F211" i="3" a="1"/>
  <c r="F211" i="3"/>
  <c r="E211" i="3" a="1"/>
  <c r="E211" i="3"/>
  <c r="I210" i="3" a="1"/>
  <c r="I210" i="3"/>
  <c r="H210" i="3"/>
  <c r="G210" i="3" a="1"/>
  <c r="G210" i="3"/>
  <c r="F210" i="3" a="1"/>
  <c r="F210" i="3"/>
  <c r="E210" i="3" a="1"/>
  <c r="E210" i="3"/>
  <c r="I209" i="3" a="1"/>
  <c r="I209" i="3"/>
  <c r="H209" i="3"/>
  <c r="G209" i="3" a="1"/>
  <c r="G209" i="3"/>
  <c r="F209" i="3" a="1"/>
  <c r="F209" i="3"/>
  <c r="E209" i="3" a="1"/>
  <c r="E209" i="3"/>
  <c r="I208" i="3" a="1"/>
  <c r="I208" i="3"/>
  <c r="H208" i="3"/>
  <c r="G208" i="3" a="1"/>
  <c r="G208" i="3"/>
  <c r="F208" i="3" a="1"/>
  <c r="F208" i="3"/>
  <c r="E208" i="3" a="1"/>
  <c r="E208" i="3"/>
  <c r="I207" i="3" a="1"/>
  <c r="I207" i="3"/>
  <c r="H207" i="3"/>
  <c r="G207" i="3" a="1"/>
  <c r="G207" i="3"/>
  <c r="F207" i="3" a="1"/>
  <c r="F207" i="3"/>
  <c r="E207" i="3" a="1"/>
  <c r="E207" i="3"/>
  <c r="I206" i="3" a="1"/>
  <c r="I206" i="3"/>
  <c r="H206" i="3"/>
  <c r="G206" i="3" a="1"/>
  <c r="G206" i="3"/>
  <c r="F206" i="3" a="1"/>
  <c r="F206" i="3"/>
  <c r="E206" i="3" a="1"/>
  <c r="E206" i="3"/>
  <c r="I205" i="3" a="1"/>
  <c r="I205" i="3"/>
  <c r="H205" i="3"/>
  <c r="G205" i="3" a="1"/>
  <c r="G205" i="3"/>
  <c r="F205" i="3" a="1"/>
  <c r="F205" i="3"/>
  <c r="E205" i="3" a="1"/>
  <c r="E205" i="3"/>
  <c r="I204" i="3" a="1"/>
  <c r="I204" i="3"/>
  <c r="H204" i="3"/>
  <c r="G204" i="3" a="1"/>
  <c r="G204" i="3"/>
  <c r="F204" i="3" a="1"/>
  <c r="F204" i="3"/>
  <c r="E204" i="3" a="1"/>
  <c r="E204" i="3"/>
  <c r="I203" i="3" a="1"/>
  <c r="I203" i="3"/>
  <c r="H203" i="3"/>
  <c r="G203" i="3" a="1"/>
  <c r="G203" i="3"/>
  <c r="F203" i="3" a="1"/>
  <c r="F203" i="3"/>
  <c r="E203" i="3" a="1"/>
  <c r="E203" i="3"/>
  <c r="I202" i="3" a="1"/>
  <c r="I202" i="3"/>
  <c r="H202" i="3"/>
  <c r="G202" i="3" a="1"/>
  <c r="G202" i="3"/>
  <c r="F202" i="3" a="1"/>
  <c r="F202" i="3"/>
  <c r="E202" i="3" a="1"/>
  <c r="E202" i="3"/>
  <c r="I201" i="3" a="1"/>
  <c r="I201" i="3"/>
  <c r="H201" i="3"/>
  <c r="G201" i="3" a="1"/>
  <c r="G201" i="3"/>
  <c r="F201" i="3" a="1"/>
  <c r="F201" i="3"/>
  <c r="E201" i="3" a="1"/>
  <c r="E201" i="3"/>
  <c r="I200" i="3" a="1"/>
  <c r="I200" i="3"/>
  <c r="H200" i="3"/>
  <c r="G200" i="3" a="1"/>
  <c r="G200" i="3"/>
  <c r="F200" i="3" a="1"/>
  <c r="F200" i="3"/>
  <c r="E200" i="3" a="1"/>
  <c r="E200" i="3"/>
  <c r="I199" i="3" a="1"/>
  <c r="I199" i="3"/>
  <c r="H199" i="3"/>
  <c r="G199" i="3" a="1"/>
  <c r="G199" i="3"/>
  <c r="F199" i="3" a="1"/>
  <c r="F199" i="3"/>
  <c r="E199" i="3" a="1"/>
  <c r="E199" i="3"/>
  <c r="I198" i="3" a="1"/>
  <c r="I198" i="3"/>
  <c r="H198" i="3"/>
  <c r="G198" i="3" a="1"/>
  <c r="G198" i="3"/>
  <c r="F198" i="3" a="1"/>
  <c r="F198" i="3"/>
  <c r="E198" i="3" a="1"/>
  <c r="E198" i="3"/>
  <c r="I197" i="3" a="1"/>
  <c r="I197" i="3"/>
  <c r="H197" i="3"/>
  <c r="G197" i="3" a="1"/>
  <c r="G197" i="3"/>
  <c r="F197" i="3" a="1"/>
  <c r="F197" i="3"/>
  <c r="E197" i="3" a="1"/>
  <c r="E197" i="3"/>
  <c r="I196" i="3" a="1"/>
  <c r="I196" i="3"/>
  <c r="H196" i="3"/>
  <c r="G196" i="3" a="1"/>
  <c r="G196" i="3"/>
  <c r="F196" i="3" a="1"/>
  <c r="F196" i="3"/>
  <c r="E196" i="3" a="1"/>
  <c r="E196" i="3"/>
  <c r="I195" i="3" a="1"/>
  <c r="I195" i="3"/>
  <c r="H195" i="3"/>
  <c r="G195" i="3" a="1"/>
  <c r="G195" i="3"/>
  <c r="F195" i="3" a="1"/>
  <c r="F195" i="3"/>
  <c r="E195" i="3" a="1"/>
  <c r="E195" i="3"/>
  <c r="I194" i="3" a="1"/>
  <c r="I194" i="3"/>
  <c r="H194" i="3"/>
  <c r="G194" i="3" a="1"/>
  <c r="G194" i="3"/>
  <c r="F194" i="3" a="1"/>
  <c r="F194" i="3"/>
  <c r="E194" i="3" a="1"/>
  <c r="E194" i="3"/>
  <c r="I193" i="3" a="1"/>
  <c r="I193" i="3"/>
  <c r="H193" i="3"/>
  <c r="G193" i="3" a="1"/>
  <c r="G193" i="3"/>
  <c r="F193" i="3" a="1"/>
  <c r="F193" i="3"/>
  <c r="E193" i="3" a="1"/>
  <c r="E193" i="3"/>
  <c r="I192" i="3" a="1"/>
  <c r="I192" i="3"/>
  <c r="H192" i="3"/>
  <c r="G192" i="3" a="1"/>
  <c r="G192" i="3"/>
  <c r="F192" i="3" a="1"/>
  <c r="F192" i="3"/>
  <c r="E192" i="3" a="1"/>
  <c r="E192" i="3"/>
  <c r="I191" i="3" a="1"/>
  <c r="I191" i="3"/>
  <c r="H191" i="3"/>
  <c r="G191" i="3" a="1"/>
  <c r="G191" i="3"/>
  <c r="F191" i="3" a="1"/>
  <c r="F191" i="3"/>
  <c r="E191" i="3" a="1"/>
  <c r="E191" i="3"/>
  <c r="I190" i="3" a="1"/>
  <c r="I190" i="3"/>
  <c r="H190" i="3"/>
  <c r="G190" i="3" a="1"/>
  <c r="G190" i="3"/>
  <c r="F190" i="3" a="1"/>
  <c r="F190" i="3"/>
  <c r="E190" i="3" a="1"/>
  <c r="E190" i="3"/>
  <c r="I189" i="3" a="1"/>
  <c r="I189" i="3"/>
  <c r="H189" i="3"/>
  <c r="G189" i="3" a="1"/>
  <c r="G189" i="3"/>
  <c r="F189" i="3" a="1"/>
  <c r="F189" i="3"/>
  <c r="E189" i="3" a="1"/>
  <c r="E189" i="3"/>
  <c r="I188" i="3" a="1"/>
  <c r="I188" i="3"/>
  <c r="H188" i="3"/>
  <c r="G188" i="3" a="1"/>
  <c r="G188" i="3"/>
  <c r="F188" i="3" a="1"/>
  <c r="F188" i="3"/>
  <c r="E188" i="3" a="1"/>
  <c r="E188" i="3"/>
  <c r="I187" i="3" a="1"/>
  <c r="I187" i="3"/>
  <c r="H187" i="3"/>
  <c r="G187" i="3" a="1"/>
  <c r="G187" i="3"/>
  <c r="F187" i="3" a="1"/>
  <c r="F187" i="3"/>
  <c r="E187" i="3" a="1"/>
  <c r="E187" i="3"/>
  <c r="I186" i="3" a="1"/>
  <c r="I186" i="3"/>
  <c r="H186" i="3"/>
  <c r="G186" i="3" a="1"/>
  <c r="G186" i="3"/>
  <c r="F186" i="3" a="1"/>
  <c r="F186" i="3"/>
  <c r="E186" i="3" a="1"/>
  <c r="E186" i="3"/>
  <c r="I185" i="3" a="1"/>
  <c r="I185" i="3"/>
  <c r="H185" i="3"/>
  <c r="G185" i="3" a="1"/>
  <c r="G185" i="3"/>
  <c r="F185" i="3" a="1"/>
  <c r="F185" i="3"/>
  <c r="E185" i="3" a="1"/>
  <c r="E185" i="3"/>
  <c r="I184" i="3" a="1"/>
  <c r="I184" i="3"/>
  <c r="H184" i="3"/>
  <c r="G184" i="3" a="1"/>
  <c r="G184" i="3"/>
  <c r="F184" i="3" a="1"/>
  <c r="F184" i="3"/>
  <c r="E184" i="3" a="1"/>
  <c r="E184" i="3"/>
  <c r="I183" i="3" a="1"/>
  <c r="I183" i="3"/>
  <c r="H183" i="3"/>
  <c r="G183" i="3" a="1"/>
  <c r="G183" i="3"/>
  <c r="F183" i="3" a="1"/>
  <c r="F183" i="3"/>
  <c r="E183" i="3" a="1"/>
  <c r="E183" i="3"/>
  <c r="I182" i="3" a="1"/>
  <c r="I182" i="3"/>
  <c r="H182" i="3"/>
  <c r="G182" i="3" a="1"/>
  <c r="G182" i="3"/>
  <c r="F182" i="3" a="1"/>
  <c r="F182" i="3"/>
  <c r="E182" i="3" a="1"/>
  <c r="E182" i="3"/>
  <c r="I181" i="3" a="1"/>
  <c r="I181" i="3"/>
  <c r="H181" i="3"/>
  <c r="G181" i="3" a="1"/>
  <c r="G181" i="3"/>
  <c r="F181" i="3" a="1"/>
  <c r="F181" i="3"/>
  <c r="E181" i="3" a="1"/>
  <c r="E181" i="3"/>
  <c r="I180" i="3" a="1"/>
  <c r="I180" i="3"/>
  <c r="H180" i="3"/>
  <c r="G180" i="3" a="1"/>
  <c r="G180" i="3"/>
  <c r="F180" i="3" a="1"/>
  <c r="F180" i="3"/>
  <c r="E180" i="3" a="1"/>
  <c r="E180" i="3"/>
  <c r="I179" i="3" a="1"/>
  <c r="I179" i="3"/>
  <c r="H179" i="3"/>
  <c r="G179" i="3" a="1"/>
  <c r="G179" i="3"/>
  <c r="F179" i="3" a="1"/>
  <c r="F179" i="3"/>
  <c r="E179" i="3" a="1"/>
  <c r="E179" i="3"/>
  <c r="I178" i="3" a="1"/>
  <c r="I178" i="3"/>
  <c r="H178" i="3"/>
  <c r="G178" i="3" a="1"/>
  <c r="G178" i="3"/>
  <c r="F178" i="3" a="1"/>
  <c r="F178" i="3"/>
  <c r="E178" i="3" a="1"/>
  <c r="E178" i="3"/>
  <c r="I177" i="3" a="1"/>
  <c r="I177" i="3"/>
  <c r="H177" i="3"/>
  <c r="G177" i="3" a="1"/>
  <c r="G177" i="3"/>
  <c r="F177" i="3" a="1"/>
  <c r="F177" i="3"/>
  <c r="E177" i="3" a="1"/>
  <c r="E177" i="3"/>
  <c r="I176" i="3" a="1"/>
  <c r="I176" i="3"/>
  <c r="H176" i="3"/>
  <c r="G176" i="3" a="1"/>
  <c r="G176" i="3"/>
  <c r="F176" i="3" a="1"/>
  <c r="F176" i="3"/>
  <c r="E176" i="3" a="1"/>
  <c r="E176" i="3"/>
  <c r="I175" i="3" a="1"/>
  <c r="I175" i="3"/>
  <c r="H175" i="3"/>
  <c r="G175" i="3" a="1"/>
  <c r="G175" i="3"/>
  <c r="F175" i="3" a="1"/>
  <c r="F175" i="3"/>
  <c r="E175" i="3" a="1"/>
  <c r="E175" i="3"/>
  <c r="I174" i="3" a="1"/>
  <c r="I174" i="3"/>
  <c r="H174" i="3"/>
  <c r="G174" i="3" a="1"/>
  <c r="G174" i="3"/>
  <c r="F174" i="3" a="1"/>
  <c r="F174" i="3"/>
  <c r="E174" i="3" a="1"/>
  <c r="E174" i="3"/>
  <c r="I173" i="3" a="1"/>
  <c r="I173" i="3"/>
  <c r="H173" i="3"/>
  <c r="G173" i="3" a="1"/>
  <c r="G173" i="3"/>
  <c r="F173" i="3" a="1"/>
  <c r="F173" i="3"/>
  <c r="E173" i="3" a="1"/>
  <c r="E173" i="3"/>
  <c r="I172" i="3" a="1"/>
  <c r="I172" i="3"/>
  <c r="H172" i="3"/>
  <c r="G172" i="3" a="1"/>
  <c r="G172" i="3"/>
  <c r="F172" i="3" a="1"/>
  <c r="F172" i="3"/>
  <c r="E172" i="3" a="1"/>
  <c r="E172" i="3"/>
  <c r="I171" i="3" a="1"/>
  <c r="I171" i="3"/>
  <c r="H171" i="3"/>
  <c r="G171" i="3" a="1"/>
  <c r="G171" i="3"/>
  <c r="F171" i="3" a="1"/>
  <c r="F171" i="3"/>
  <c r="E171" i="3" a="1"/>
  <c r="E171" i="3"/>
  <c r="I170" i="3" a="1"/>
  <c r="I170" i="3"/>
  <c r="H170" i="3"/>
  <c r="G170" i="3" a="1"/>
  <c r="G170" i="3"/>
  <c r="F170" i="3" a="1"/>
  <c r="F170" i="3"/>
  <c r="E170" i="3" a="1"/>
  <c r="E170" i="3"/>
  <c r="I169" i="3" a="1"/>
  <c r="I169" i="3"/>
  <c r="H169" i="3"/>
  <c r="G169" i="3" a="1"/>
  <c r="G169" i="3"/>
  <c r="F169" i="3" a="1"/>
  <c r="F169" i="3"/>
  <c r="E169" i="3" a="1"/>
  <c r="E169" i="3"/>
  <c r="I168" i="3" a="1"/>
  <c r="I168" i="3"/>
  <c r="H168" i="3"/>
  <c r="G168" i="3" a="1"/>
  <c r="G168" i="3"/>
  <c r="F168" i="3" a="1"/>
  <c r="F168" i="3"/>
  <c r="E168" i="3" a="1"/>
  <c r="E168" i="3"/>
  <c r="I167" i="3" a="1"/>
  <c r="I167" i="3"/>
  <c r="H167" i="3"/>
  <c r="G167" i="3" a="1"/>
  <c r="G167" i="3"/>
  <c r="F167" i="3" a="1"/>
  <c r="F167" i="3"/>
  <c r="E167" i="3" a="1"/>
  <c r="E167" i="3"/>
  <c r="I166" i="3" a="1"/>
  <c r="I166" i="3"/>
  <c r="H166" i="3"/>
  <c r="G166" i="3" a="1"/>
  <c r="G166" i="3"/>
  <c r="F166" i="3" a="1"/>
  <c r="F166" i="3"/>
  <c r="E166" i="3" a="1"/>
  <c r="E166" i="3"/>
  <c r="I165" i="3" a="1"/>
  <c r="I165" i="3"/>
  <c r="H165" i="3"/>
  <c r="G165" i="3" a="1"/>
  <c r="G165" i="3"/>
  <c r="F165" i="3" a="1"/>
  <c r="F165" i="3"/>
  <c r="E165" i="3" a="1"/>
  <c r="E165" i="3"/>
  <c r="I164" i="3" a="1"/>
  <c r="I164" i="3"/>
  <c r="H164" i="3"/>
  <c r="G164" i="3" a="1"/>
  <c r="G164" i="3"/>
  <c r="F164" i="3" a="1"/>
  <c r="F164" i="3"/>
  <c r="E164" i="3" a="1"/>
  <c r="E164" i="3"/>
  <c r="I163" i="3" a="1"/>
  <c r="I163" i="3"/>
  <c r="H163" i="3"/>
  <c r="G163" i="3" a="1"/>
  <c r="G163" i="3"/>
  <c r="F163" i="3" a="1"/>
  <c r="F163" i="3"/>
  <c r="E163" i="3" a="1"/>
  <c r="E163" i="3"/>
  <c r="I162" i="3" a="1"/>
  <c r="I162" i="3"/>
  <c r="H162" i="3"/>
  <c r="G162" i="3" a="1"/>
  <c r="G162" i="3"/>
  <c r="F162" i="3" a="1"/>
  <c r="F162" i="3"/>
  <c r="E162" i="3" a="1"/>
  <c r="E162" i="3"/>
  <c r="I161" i="3" a="1"/>
  <c r="I161" i="3"/>
  <c r="H161" i="3"/>
  <c r="G161" i="3" a="1"/>
  <c r="G161" i="3"/>
  <c r="F161" i="3" a="1"/>
  <c r="F161" i="3"/>
  <c r="E161" i="3" a="1"/>
  <c r="E161" i="3"/>
  <c r="I160" i="3" a="1"/>
  <c r="I160" i="3"/>
  <c r="H160" i="3"/>
  <c r="G160" i="3" a="1"/>
  <c r="G160" i="3"/>
  <c r="F160" i="3" a="1"/>
  <c r="F160" i="3"/>
  <c r="E160" i="3" a="1"/>
  <c r="E160" i="3"/>
  <c r="I159" i="3" a="1"/>
  <c r="I159" i="3"/>
  <c r="H159" i="3"/>
  <c r="G159" i="3" a="1"/>
  <c r="G159" i="3"/>
  <c r="F159" i="3" a="1"/>
  <c r="F159" i="3"/>
  <c r="E159" i="3" a="1"/>
  <c r="E159" i="3"/>
  <c r="I158" i="3" a="1"/>
  <c r="I158" i="3"/>
  <c r="H158" i="3"/>
  <c r="G158" i="3" a="1"/>
  <c r="G158" i="3"/>
  <c r="F158" i="3" a="1"/>
  <c r="F158" i="3"/>
  <c r="E158" i="3" a="1"/>
  <c r="E158" i="3"/>
  <c r="I157" i="3" a="1"/>
  <c r="I157" i="3"/>
  <c r="H157" i="3"/>
  <c r="G157" i="3" a="1"/>
  <c r="G157" i="3"/>
  <c r="F157" i="3" a="1"/>
  <c r="F157" i="3"/>
  <c r="E157" i="3" a="1"/>
  <c r="E157" i="3"/>
  <c r="I156" i="3" a="1"/>
  <c r="I156" i="3"/>
  <c r="H156" i="3"/>
  <c r="G156" i="3" a="1"/>
  <c r="G156" i="3"/>
  <c r="F156" i="3" a="1"/>
  <c r="F156" i="3"/>
  <c r="E156" i="3" a="1"/>
  <c r="E156" i="3"/>
  <c r="I155" i="3" a="1"/>
  <c r="I155" i="3"/>
  <c r="H155" i="3"/>
  <c r="G155" i="3" a="1"/>
  <c r="G155" i="3"/>
  <c r="F155" i="3" a="1"/>
  <c r="F155" i="3"/>
  <c r="E155" i="3" a="1"/>
  <c r="E155" i="3"/>
  <c r="I154" i="3" a="1"/>
  <c r="I154" i="3"/>
  <c r="H154" i="3"/>
  <c r="G154" i="3" a="1"/>
  <c r="G154" i="3"/>
  <c r="F154" i="3" a="1"/>
  <c r="F154" i="3"/>
  <c r="E154" i="3" a="1"/>
  <c r="E154" i="3"/>
  <c r="I153" i="3" a="1"/>
  <c r="I153" i="3"/>
  <c r="H153" i="3"/>
  <c r="G153" i="3" a="1"/>
  <c r="G153" i="3"/>
  <c r="F153" i="3" a="1"/>
  <c r="F153" i="3"/>
  <c r="E153" i="3" a="1"/>
  <c r="E153" i="3"/>
  <c r="I152" i="3" a="1"/>
  <c r="I152" i="3"/>
  <c r="H152" i="3"/>
  <c r="G152" i="3" a="1"/>
  <c r="G152" i="3"/>
  <c r="F152" i="3" a="1"/>
  <c r="F152" i="3"/>
  <c r="E152" i="3" a="1"/>
  <c r="E152" i="3"/>
  <c r="I151" i="3" a="1"/>
  <c r="I151" i="3"/>
  <c r="H151" i="3"/>
  <c r="G151" i="3" a="1"/>
  <c r="G151" i="3"/>
  <c r="F151" i="3" a="1"/>
  <c r="F151" i="3"/>
  <c r="E151" i="3" a="1"/>
  <c r="E151" i="3"/>
  <c r="I150" i="3" a="1"/>
  <c r="I150" i="3"/>
  <c r="H150" i="3"/>
  <c r="G150" i="3" a="1"/>
  <c r="G150" i="3"/>
  <c r="F150" i="3" a="1"/>
  <c r="F150" i="3"/>
  <c r="E150" i="3" a="1"/>
  <c r="E150" i="3"/>
  <c r="I149" i="3" a="1"/>
  <c r="I149" i="3"/>
  <c r="H149" i="3"/>
  <c r="G149" i="3" a="1"/>
  <c r="G149" i="3"/>
  <c r="F149" i="3" a="1"/>
  <c r="F149" i="3"/>
  <c r="E149" i="3" a="1"/>
  <c r="E149" i="3"/>
  <c r="I148" i="3" a="1"/>
  <c r="I148" i="3"/>
  <c r="H148" i="3"/>
  <c r="G148" i="3" a="1"/>
  <c r="G148" i="3"/>
  <c r="F148" i="3" a="1"/>
  <c r="F148" i="3"/>
  <c r="E148" i="3" a="1"/>
  <c r="E148" i="3"/>
  <c r="I147" i="3" a="1"/>
  <c r="I147" i="3"/>
  <c r="H147" i="3"/>
  <c r="G147" i="3" a="1"/>
  <c r="G147" i="3"/>
  <c r="F147" i="3" a="1"/>
  <c r="F147" i="3"/>
  <c r="E147" i="3" a="1"/>
  <c r="E147" i="3"/>
  <c r="I146" i="3" a="1"/>
  <c r="I146" i="3"/>
  <c r="H146" i="3"/>
  <c r="G146" i="3" a="1"/>
  <c r="G146" i="3"/>
  <c r="F146" i="3" a="1"/>
  <c r="F146" i="3"/>
  <c r="E146" i="3" a="1"/>
  <c r="E146" i="3"/>
  <c r="I145" i="3" a="1"/>
  <c r="I145" i="3"/>
  <c r="H145" i="3"/>
  <c r="G145" i="3" a="1"/>
  <c r="G145" i="3"/>
  <c r="F145" i="3" a="1"/>
  <c r="F145" i="3"/>
  <c r="E145" i="3" a="1"/>
  <c r="E145" i="3"/>
  <c r="I144" i="3" a="1"/>
  <c r="I144" i="3"/>
  <c r="H144" i="3"/>
  <c r="G144" i="3" a="1"/>
  <c r="G144" i="3"/>
  <c r="F144" i="3" a="1"/>
  <c r="F144" i="3"/>
  <c r="E144" i="3" a="1"/>
  <c r="E144" i="3"/>
  <c r="I143" i="3" a="1"/>
  <c r="I143" i="3"/>
  <c r="H143" i="3"/>
  <c r="G143" i="3" a="1"/>
  <c r="G143" i="3"/>
  <c r="F143" i="3" a="1"/>
  <c r="F143" i="3"/>
  <c r="E143" i="3" a="1"/>
  <c r="E143" i="3"/>
  <c r="I142" i="3" a="1"/>
  <c r="I142" i="3"/>
  <c r="H142" i="3"/>
  <c r="G142" i="3" a="1"/>
  <c r="G142" i="3"/>
  <c r="F142" i="3" a="1"/>
  <c r="F142" i="3"/>
  <c r="E142" i="3" a="1"/>
  <c r="E142" i="3"/>
  <c r="I141" i="3" a="1"/>
  <c r="I141" i="3"/>
  <c r="H141" i="3"/>
  <c r="G141" i="3" a="1"/>
  <c r="G141" i="3"/>
  <c r="F141" i="3" a="1"/>
  <c r="F141" i="3"/>
  <c r="E141" i="3" a="1"/>
  <c r="E141" i="3"/>
  <c r="I140" i="3" a="1"/>
  <c r="I140" i="3"/>
  <c r="H140" i="3"/>
  <c r="G140" i="3" a="1"/>
  <c r="G140" i="3"/>
  <c r="F140" i="3" a="1"/>
  <c r="F140" i="3"/>
  <c r="E140" i="3" a="1"/>
  <c r="E140" i="3"/>
  <c r="I139" i="3" a="1"/>
  <c r="I139" i="3"/>
  <c r="H139" i="3"/>
  <c r="G139" i="3" a="1"/>
  <c r="G139" i="3"/>
  <c r="F139" i="3" a="1"/>
  <c r="F139" i="3"/>
  <c r="E139" i="3" a="1"/>
  <c r="E139" i="3"/>
  <c r="I138" i="3" a="1"/>
  <c r="I138" i="3"/>
  <c r="H138" i="3"/>
  <c r="G138" i="3" a="1"/>
  <c r="G138" i="3"/>
  <c r="F138" i="3" a="1"/>
  <c r="F138" i="3"/>
  <c r="E138" i="3" a="1"/>
  <c r="E138" i="3"/>
  <c r="I137" i="3" a="1"/>
  <c r="I137" i="3"/>
  <c r="H137" i="3"/>
  <c r="G137" i="3" a="1"/>
  <c r="G137" i="3"/>
  <c r="F137" i="3" a="1"/>
  <c r="F137" i="3"/>
  <c r="E137" i="3" a="1"/>
  <c r="E137" i="3"/>
  <c r="I136" i="3" a="1"/>
  <c r="I136" i="3"/>
  <c r="H136" i="3"/>
  <c r="G136" i="3" a="1"/>
  <c r="G136" i="3"/>
  <c r="F136" i="3" a="1"/>
  <c r="F136" i="3"/>
  <c r="E136" i="3" a="1"/>
  <c r="E136" i="3"/>
  <c r="I135" i="3" a="1"/>
  <c r="I135" i="3"/>
  <c r="H135" i="3"/>
  <c r="G135" i="3" a="1"/>
  <c r="G135" i="3"/>
  <c r="F135" i="3" a="1"/>
  <c r="F135" i="3"/>
  <c r="E135" i="3" a="1"/>
  <c r="E135" i="3"/>
  <c r="I134" i="3" a="1"/>
  <c r="I134" i="3"/>
  <c r="H134" i="3"/>
  <c r="G134" i="3" a="1"/>
  <c r="G134" i="3"/>
  <c r="F134" i="3" a="1"/>
  <c r="F134" i="3"/>
  <c r="E134" i="3" a="1"/>
  <c r="E134" i="3"/>
  <c r="I133" i="3" a="1"/>
  <c r="I133" i="3"/>
  <c r="H133" i="3"/>
  <c r="G133" i="3" a="1"/>
  <c r="G133" i="3"/>
  <c r="F133" i="3" a="1"/>
  <c r="F133" i="3"/>
  <c r="E133" i="3" a="1"/>
  <c r="E133" i="3"/>
  <c r="I132" i="3" a="1"/>
  <c r="I132" i="3"/>
  <c r="H132" i="3"/>
  <c r="G132" i="3" a="1"/>
  <c r="G132" i="3"/>
  <c r="F132" i="3" a="1"/>
  <c r="F132" i="3"/>
  <c r="E132" i="3" a="1"/>
  <c r="E132" i="3"/>
  <c r="I131" i="3" a="1"/>
  <c r="I131" i="3"/>
  <c r="H131" i="3"/>
  <c r="G131" i="3" a="1"/>
  <c r="G131" i="3"/>
  <c r="F131" i="3" a="1"/>
  <c r="F131" i="3"/>
  <c r="E131" i="3" a="1"/>
  <c r="E131" i="3"/>
  <c r="I130" i="3" a="1"/>
  <c r="I130" i="3"/>
  <c r="H130" i="3"/>
  <c r="G130" i="3" a="1"/>
  <c r="G130" i="3"/>
  <c r="F130" i="3" a="1"/>
  <c r="F130" i="3"/>
  <c r="E130" i="3" a="1"/>
  <c r="E130" i="3"/>
  <c r="I129" i="3" a="1"/>
  <c r="I129" i="3"/>
  <c r="H129" i="3"/>
  <c r="G129" i="3" a="1"/>
  <c r="G129" i="3"/>
  <c r="F129" i="3" a="1"/>
  <c r="F129" i="3"/>
  <c r="E129" i="3" a="1"/>
  <c r="E129" i="3"/>
  <c r="I128" i="3" a="1"/>
  <c r="I128" i="3"/>
  <c r="H128" i="3"/>
  <c r="G128" i="3" a="1"/>
  <c r="G128" i="3"/>
  <c r="F128" i="3" a="1"/>
  <c r="F128" i="3"/>
  <c r="E128" i="3" a="1"/>
  <c r="E128" i="3"/>
  <c r="I127" i="3" a="1"/>
  <c r="I127" i="3"/>
  <c r="H127" i="3"/>
  <c r="G127" i="3" a="1"/>
  <c r="G127" i="3"/>
  <c r="F127" i="3" a="1"/>
  <c r="F127" i="3"/>
  <c r="E127" i="3" a="1"/>
  <c r="E127" i="3"/>
  <c r="I126" i="3" a="1"/>
  <c r="I126" i="3"/>
  <c r="H126" i="3"/>
  <c r="G126" i="3" a="1"/>
  <c r="G126" i="3"/>
  <c r="F126" i="3" a="1"/>
  <c r="F126" i="3"/>
  <c r="E126" i="3" a="1"/>
  <c r="E126" i="3"/>
  <c r="I125" i="3" a="1"/>
  <c r="I125" i="3"/>
  <c r="H125" i="3"/>
  <c r="G125" i="3" a="1"/>
  <c r="G125" i="3"/>
  <c r="F125" i="3" a="1"/>
  <c r="F125" i="3"/>
  <c r="E125" i="3" a="1"/>
  <c r="E125" i="3"/>
  <c r="I124" i="3" a="1"/>
  <c r="I124" i="3"/>
  <c r="H124" i="3"/>
  <c r="G124" i="3" a="1"/>
  <c r="G124" i="3"/>
  <c r="F124" i="3" a="1"/>
  <c r="F124" i="3"/>
  <c r="E124" i="3" a="1"/>
  <c r="E124" i="3"/>
  <c r="I123" i="3" a="1"/>
  <c r="I123" i="3"/>
  <c r="H123" i="3"/>
  <c r="G123" i="3" a="1"/>
  <c r="G123" i="3"/>
  <c r="F123" i="3" a="1"/>
  <c r="F123" i="3"/>
  <c r="E123" i="3" a="1"/>
  <c r="E123" i="3"/>
  <c r="I122" i="3" a="1"/>
  <c r="I122" i="3"/>
  <c r="H122" i="3"/>
  <c r="G122" i="3" a="1"/>
  <c r="G122" i="3"/>
  <c r="F122" i="3" a="1"/>
  <c r="F122" i="3"/>
  <c r="E122" i="3" a="1"/>
  <c r="E122" i="3"/>
  <c r="I121" i="3" a="1"/>
  <c r="I121" i="3"/>
  <c r="H121" i="3"/>
  <c r="G121" i="3" a="1"/>
  <c r="G121" i="3"/>
  <c r="F121" i="3" a="1"/>
  <c r="F121" i="3"/>
  <c r="E121" i="3" a="1"/>
  <c r="E121" i="3"/>
  <c r="I120" i="3" a="1"/>
  <c r="I120" i="3"/>
  <c r="H120" i="3"/>
  <c r="G120" i="3" a="1"/>
  <c r="G120" i="3"/>
  <c r="F120" i="3" a="1"/>
  <c r="F120" i="3"/>
  <c r="E120" i="3" a="1"/>
  <c r="E120" i="3"/>
  <c r="I119" i="3" a="1"/>
  <c r="I119" i="3"/>
  <c r="H119" i="3"/>
  <c r="G119" i="3" a="1"/>
  <c r="G119" i="3"/>
  <c r="F119" i="3" a="1"/>
  <c r="F119" i="3"/>
  <c r="E119" i="3" a="1"/>
  <c r="E119" i="3"/>
  <c r="I118" i="3" a="1"/>
  <c r="I118" i="3"/>
  <c r="H118" i="3"/>
  <c r="G118" i="3" a="1"/>
  <c r="G118" i="3"/>
  <c r="F118" i="3" a="1"/>
  <c r="F118" i="3"/>
  <c r="E118" i="3" a="1"/>
  <c r="E118" i="3"/>
  <c r="I117" i="3" a="1"/>
  <c r="I117" i="3"/>
  <c r="H117" i="3"/>
  <c r="G117" i="3" a="1"/>
  <c r="G117" i="3"/>
  <c r="F117" i="3" a="1"/>
  <c r="F117" i="3"/>
  <c r="E117" i="3" a="1"/>
  <c r="E117" i="3"/>
  <c r="I116" i="3" a="1"/>
  <c r="I116" i="3"/>
  <c r="H116" i="3"/>
  <c r="G116" i="3" a="1"/>
  <c r="G116" i="3"/>
  <c r="F116" i="3" a="1"/>
  <c r="F116" i="3"/>
  <c r="E116" i="3" a="1"/>
  <c r="E116" i="3"/>
  <c r="I115" i="3" a="1"/>
  <c r="I115" i="3"/>
  <c r="H115" i="3"/>
  <c r="G115" i="3" a="1"/>
  <c r="G115" i="3"/>
  <c r="F115" i="3" a="1"/>
  <c r="F115" i="3"/>
  <c r="E115" i="3" a="1"/>
  <c r="E115" i="3"/>
  <c r="I114" i="3" a="1"/>
  <c r="I114" i="3"/>
  <c r="H114" i="3"/>
  <c r="G114" i="3" a="1"/>
  <c r="G114" i="3"/>
  <c r="F114" i="3" a="1"/>
  <c r="F114" i="3"/>
  <c r="E114" i="3" a="1"/>
  <c r="E114" i="3"/>
  <c r="I113" i="3" a="1"/>
  <c r="I113" i="3"/>
  <c r="H113" i="3"/>
  <c r="G113" i="3" a="1"/>
  <c r="G113" i="3"/>
  <c r="F113" i="3" a="1"/>
  <c r="F113" i="3"/>
  <c r="E113" i="3" a="1"/>
  <c r="E113" i="3"/>
  <c r="I112" i="3" a="1"/>
  <c r="I112" i="3"/>
  <c r="H112" i="3"/>
  <c r="G112" i="3" a="1"/>
  <c r="G112" i="3"/>
  <c r="F112" i="3" a="1"/>
  <c r="F112" i="3"/>
  <c r="E112" i="3" a="1"/>
  <c r="E112" i="3"/>
  <c r="I111" i="3" a="1"/>
  <c r="I111" i="3"/>
  <c r="H111" i="3"/>
  <c r="G111" i="3" a="1"/>
  <c r="G111" i="3"/>
  <c r="F111" i="3" a="1"/>
  <c r="F111" i="3"/>
  <c r="E111" i="3" a="1"/>
  <c r="E111" i="3"/>
  <c r="I110" i="3" a="1"/>
  <c r="I110" i="3"/>
  <c r="H110" i="3"/>
  <c r="G110" i="3" a="1"/>
  <c r="G110" i="3"/>
  <c r="F110" i="3" a="1"/>
  <c r="F110" i="3"/>
  <c r="E110" i="3" a="1"/>
  <c r="E110" i="3"/>
  <c r="I109" i="3" a="1"/>
  <c r="I109" i="3"/>
  <c r="H109" i="3"/>
  <c r="G109" i="3" a="1"/>
  <c r="G109" i="3"/>
  <c r="F109" i="3" a="1"/>
  <c r="F109" i="3"/>
  <c r="E109" i="3" a="1"/>
  <c r="E109" i="3"/>
  <c r="I108" i="3" a="1"/>
  <c r="I108" i="3"/>
  <c r="H108" i="3"/>
  <c r="G108" i="3" a="1"/>
  <c r="G108" i="3"/>
  <c r="F108" i="3" a="1"/>
  <c r="F108" i="3"/>
  <c r="E108" i="3" a="1"/>
  <c r="E108" i="3"/>
  <c r="I107" i="3" a="1"/>
  <c r="I107" i="3"/>
  <c r="H107" i="3"/>
  <c r="G107" i="3" a="1"/>
  <c r="G107" i="3"/>
  <c r="F107" i="3" a="1"/>
  <c r="F107" i="3"/>
  <c r="E107" i="3" a="1"/>
  <c r="E107" i="3"/>
  <c r="I106" i="3" a="1"/>
  <c r="I106" i="3"/>
  <c r="H106" i="3"/>
  <c r="G106" i="3" a="1"/>
  <c r="G106" i="3"/>
  <c r="F106" i="3" a="1"/>
  <c r="F106" i="3"/>
  <c r="E106" i="3" a="1"/>
  <c r="E106" i="3"/>
  <c r="I105" i="3" a="1"/>
  <c r="I105" i="3"/>
  <c r="H105" i="3"/>
  <c r="G105" i="3" a="1"/>
  <c r="G105" i="3"/>
  <c r="F105" i="3" a="1"/>
  <c r="F105" i="3"/>
  <c r="E105" i="3" a="1"/>
  <c r="E105" i="3"/>
  <c r="I104" i="3" a="1"/>
  <c r="I104" i="3"/>
  <c r="H104" i="3"/>
  <c r="G104" i="3" a="1"/>
  <c r="G104" i="3"/>
  <c r="F104" i="3" a="1"/>
  <c r="F104" i="3"/>
  <c r="E104" i="3" a="1"/>
  <c r="E104" i="3"/>
  <c r="I103" i="3" a="1"/>
  <c r="I103" i="3"/>
  <c r="H103" i="3"/>
  <c r="G103" i="3" a="1"/>
  <c r="G103" i="3"/>
  <c r="F103" i="3" a="1"/>
  <c r="F103" i="3"/>
  <c r="E103" i="3" a="1"/>
  <c r="E103" i="3"/>
  <c r="I102" i="3" a="1"/>
  <c r="I102" i="3"/>
  <c r="H102" i="3"/>
  <c r="G102" i="3" a="1"/>
  <c r="G102" i="3"/>
  <c r="F102" i="3" a="1"/>
  <c r="F102" i="3"/>
  <c r="E102" i="3" a="1"/>
  <c r="E102" i="3"/>
  <c r="I101" i="3" a="1"/>
  <c r="I101" i="3"/>
  <c r="H101" i="3"/>
  <c r="G101" i="3" a="1"/>
  <c r="G101" i="3"/>
  <c r="F101" i="3" a="1"/>
  <c r="F101" i="3"/>
  <c r="E101" i="3" a="1"/>
  <c r="E101" i="3"/>
  <c r="I100" i="3" a="1"/>
  <c r="I100" i="3"/>
  <c r="H100" i="3"/>
  <c r="G100" i="3" a="1"/>
  <c r="G100" i="3"/>
  <c r="F100" i="3" a="1"/>
  <c r="F100" i="3"/>
  <c r="E100" i="3" a="1"/>
  <c r="E100" i="3"/>
  <c r="I99" i="3" a="1"/>
  <c r="I99" i="3"/>
  <c r="H99" i="3"/>
  <c r="G99" i="3" a="1"/>
  <c r="G99" i="3"/>
  <c r="F99" i="3" a="1"/>
  <c r="F99" i="3"/>
  <c r="E99" i="3" a="1"/>
  <c r="E99" i="3"/>
  <c r="I98" i="3" a="1"/>
  <c r="I98" i="3"/>
  <c r="H98" i="3"/>
  <c r="G98" i="3" a="1"/>
  <c r="G98" i="3"/>
  <c r="F98" i="3" a="1"/>
  <c r="F98" i="3"/>
  <c r="E98" i="3" a="1"/>
  <c r="E98" i="3"/>
  <c r="I97" i="3" a="1"/>
  <c r="I97" i="3"/>
  <c r="H97" i="3"/>
  <c r="G97" i="3" a="1"/>
  <c r="G97" i="3"/>
  <c r="F97" i="3" a="1"/>
  <c r="F97" i="3"/>
  <c r="E97" i="3" a="1"/>
  <c r="E97" i="3"/>
  <c r="I96" i="3" a="1"/>
  <c r="I96" i="3"/>
  <c r="H96" i="3"/>
  <c r="G96" i="3" a="1"/>
  <c r="G96" i="3"/>
  <c r="F96" i="3" a="1"/>
  <c r="F96" i="3"/>
  <c r="E96" i="3" a="1"/>
  <c r="E96" i="3"/>
  <c r="I95" i="3" a="1"/>
  <c r="I95" i="3"/>
  <c r="H95" i="3"/>
  <c r="G95" i="3" a="1"/>
  <c r="G95" i="3"/>
  <c r="F95" i="3" a="1"/>
  <c r="F95" i="3"/>
  <c r="E95" i="3" a="1"/>
  <c r="E95" i="3"/>
  <c r="I94" i="3" a="1"/>
  <c r="I94" i="3"/>
  <c r="H94" i="3"/>
  <c r="G94" i="3" a="1"/>
  <c r="G94" i="3"/>
  <c r="F94" i="3" a="1"/>
  <c r="F94" i="3"/>
  <c r="E94" i="3" a="1"/>
  <c r="E94" i="3"/>
  <c r="I93" i="3" a="1"/>
  <c r="I93" i="3"/>
  <c r="H93" i="3"/>
  <c r="G93" i="3" a="1"/>
  <c r="G93" i="3"/>
  <c r="F93" i="3" a="1"/>
  <c r="F93" i="3"/>
  <c r="E93" i="3" a="1"/>
  <c r="E93" i="3"/>
  <c r="I92" i="3" a="1"/>
  <c r="I92" i="3"/>
  <c r="H92" i="3"/>
  <c r="G92" i="3" a="1"/>
  <c r="G92" i="3"/>
  <c r="F92" i="3" a="1"/>
  <c r="F92" i="3"/>
  <c r="E92" i="3" a="1"/>
  <c r="E92" i="3"/>
  <c r="I91" i="3" a="1"/>
  <c r="I91" i="3"/>
  <c r="H91" i="3"/>
  <c r="G91" i="3" a="1"/>
  <c r="G91" i="3"/>
  <c r="F91" i="3" a="1"/>
  <c r="F91" i="3"/>
  <c r="E91" i="3" a="1"/>
  <c r="E91" i="3"/>
  <c r="I90" i="3" a="1"/>
  <c r="I90" i="3"/>
  <c r="H90" i="3"/>
  <c r="G90" i="3" a="1"/>
  <c r="G90" i="3"/>
  <c r="F90" i="3" a="1"/>
  <c r="F90" i="3"/>
  <c r="E90" i="3" a="1"/>
  <c r="E90" i="3"/>
  <c r="I89" i="3" a="1"/>
  <c r="I89" i="3"/>
  <c r="H89" i="3"/>
  <c r="G89" i="3" a="1"/>
  <c r="G89" i="3"/>
  <c r="F89" i="3" a="1"/>
  <c r="F89" i="3"/>
  <c r="E89" i="3" a="1"/>
  <c r="E89" i="3"/>
  <c r="I88" i="3" a="1"/>
  <c r="I88" i="3"/>
  <c r="H88" i="3"/>
  <c r="G88" i="3" a="1"/>
  <c r="G88" i="3"/>
  <c r="F88" i="3" a="1"/>
  <c r="F88" i="3"/>
  <c r="E88" i="3" a="1"/>
  <c r="E88" i="3"/>
  <c r="I87" i="3" a="1"/>
  <c r="I87" i="3"/>
  <c r="H87" i="3"/>
  <c r="G87" i="3" a="1"/>
  <c r="G87" i="3"/>
  <c r="F87" i="3" a="1"/>
  <c r="F87" i="3"/>
  <c r="E87" i="3" a="1"/>
  <c r="E87" i="3"/>
  <c r="I86" i="3" a="1"/>
  <c r="I86" i="3"/>
  <c r="H86" i="3"/>
  <c r="G86" i="3" a="1"/>
  <c r="G86" i="3"/>
  <c r="F86" i="3" a="1"/>
  <c r="F86" i="3"/>
  <c r="E86" i="3" a="1"/>
  <c r="E86" i="3"/>
  <c r="I85" i="3" a="1"/>
  <c r="I85" i="3"/>
  <c r="H85" i="3"/>
  <c r="G85" i="3" a="1"/>
  <c r="G85" i="3"/>
  <c r="F85" i="3" a="1"/>
  <c r="F85" i="3"/>
  <c r="E85" i="3" a="1"/>
  <c r="E85" i="3"/>
  <c r="I84" i="3" a="1"/>
  <c r="I84" i="3"/>
  <c r="H84" i="3"/>
  <c r="G84" i="3" a="1"/>
  <c r="G84" i="3"/>
  <c r="F84" i="3" a="1"/>
  <c r="F84" i="3"/>
  <c r="E84" i="3" a="1"/>
  <c r="E84" i="3"/>
  <c r="I83" i="3" a="1"/>
  <c r="I83" i="3"/>
  <c r="H83" i="3"/>
  <c r="G83" i="3" a="1"/>
  <c r="G83" i="3"/>
  <c r="F83" i="3" a="1"/>
  <c r="F83" i="3"/>
  <c r="E83" i="3" a="1"/>
  <c r="E83" i="3"/>
  <c r="I82" i="3" a="1"/>
  <c r="I82" i="3"/>
  <c r="H82" i="3"/>
  <c r="G82" i="3" a="1"/>
  <c r="G82" i="3"/>
  <c r="F82" i="3" a="1"/>
  <c r="F82" i="3"/>
  <c r="E82" i="3" a="1"/>
  <c r="E82" i="3"/>
  <c r="I81" i="3" a="1"/>
  <c r="I81" i="3"/>
  <c r="H81" i="3"/>
  <c r="G81" i="3" a="1"/>
  <c r="G81" i="3"/>
  <c r="F81" i="3" a="1"/>
  <c r="F81" i="3"/>
  <c r="E81" i="3" a="1"/>
  <c r="E81" i="3"/>
  <c r="I80" i="3" a="1"/>
  <c r="I80" i="3"/>
  <c r="H80" i="3"/>
  <c r="G80" i="3" a="1"/>
  <c r="G80" i="3"/>
  <c r="F80" i="3" a="1"/>
  <c r="F80" i="3"/>
  <c r="E80" i="3" a="1"/>
  <c r="E80" i="3"/>
  <c r="I79" i="3" a="1"/>
  <c r="I79" i="3"/>
  <c r="H79" i="3"/>
  <c r="G79" i="3" a="1"/>
  <c r="G79" i="3"/>
  <c r="F79" i="3" a="1"/>
  <c r="F79" i="3"/>
  <c r="E79" i="3" a="1"/>
  <c r="E79" i="3"/>
  <c r="I78" i="3" a="1"/>
  <c r="I78" i="3"/>
  <c r="H78" i="3"/>
  <c r="G78" i="3" a="1"/>
  <c r="G78" i="3"/>
  <c r="F78" i="3" a="1"/>
  <c r="F78" i="3"/>
  <c r="E78" i="3" a="1"/>
  <c r="E78" i="3"/>
  <c r="I77" i="3" a="1"/>
  <c r="I77" i="3"/>
  <c r="H77" i="3"/>
  <c r="G77" i="3" a="1"/>
  <c r="G77" i="3"/>
  <c r="F77" i="3" a="1"/>
  <c r="F77" i="3"/>
  <c r="E77" i="3" a="1"/>
  <c r="E77" i="3"/>
  <c r="I76" i="3" a="1"/>
  <c r="I76" i="3"/>
  <c r="H76" i="3"/>
  <c r="G76" i="3" a="1"/>
  <c r="G76" i="3"/>
  <c r="F76" i="3" a="1"/>
  <c r="F76" i="3"/>
  <c r="E76" i="3" a="1"/>
  <c r="E76" i="3"/>
  <c r="I75" i="3" a="1"/>
  <c r="I75" i="3"/>
  <c r="H75" i="3"/>
  <c r="G75" i="3" a="1"/>
  <c r="G75" i="3"/>
  <c r="F75" i="3" a="1"/>
  <c r="F75" i="3"/>
  <c r="E75" i="3" a="1"/>
  <c r="E75" i="3"/>
  <c r="I74" i="3" a="1"/>
  <c r="I74" i="3"/>
  <c r="H74" i="3"/>
  <c r="G74" i="3" a="1"/>
  <c r="G74" i="3"/>
  <c r="F74" i="3" a="1"/>
  <c r="F74" i="3"/>
  <c r="E74" i="3" a="1"/>
  <c r="E74" i="3"/>
  <c r="I73" i="3" a="1"/>
  <c r="I73" i="3"/>
  <c r="H73" i="3"/>
  <c r="G73" i="3" a="1"/>
  <c r="G73" i="3"/>
  <c r="F73" i="3" a="1"/>
  <c r="F73" i="3"/>
  <c r="E73" i="3" a="1"/>
  <c r="E73" i="3"/>
  <c r="I72" i="3" a="1"/>
  <c r="I72" i="3"/>
  <c r="H72" i="3"/>
  <c r="G72" i="3" a="1"/>
  <c r="G72" i="3"/>
  <c r="F72" i="3" a="1"/>
  <c r="F72" i="3"/>
  <c r="E72" i="3" a="1"/>
  <c r="E72" i="3"/>
  <c r="I71" i="3" a="1"/>
  <c r="I71" i="3"/>
  <c r="H71" i="3"/>
  <c r="G71" i="3" a="1"/>
  <c r="G71" i="3"/>
  <c r="F71" i="3" a="1"/>
  <c r="F71" i="3"/>
  <c r="E71" i="3" a="1"/>
  <c r="E71" i="3"/>
  <c r="I70" i="3" a="1"/>
  <c r="I70" i="3"/>
  <c r="H70" i="3"/>
  <c r="G70" i="3" a="1"/>
  <c r="G70" i="3"/>
  <c r="F70" i="3" a="1"/>
  <c r="F70" i="3"/>
  <c r="E70" i="3" a="1"/>
  <c r="E70" i="3"/>
  <c r="I69" i="3" a="1"/>
  <c r="I69" i="3"/>
  <c r="H69" i="3"/>
  <c r="G69" i="3" a="1"/>
  <c r="G69" i="3"/>
  <c r="F69" i="3" a="1"/>
  <c r="F69" i="3"/>
  <c r="E69" i="3" a="1"/>
  <c r="E69" i="3"/>
  <c r="I68" i="3" a="1"/>
  <c r="I68" i="3"/>
  <c r="H68" i="3"/>
  <c r="G68" i="3" a="1"/>
  <c r="G68" i="3"/>
  <c r="F68" i="3" a="1"/>
  <c r="F68" i="3"/>
  <c r="E68" i="3" a="1"/>
  <c r="E68" i="3"/>
  <c r="I67" i="3" a="1"/>
  <c r="I67" i="3"/>
  <c r="H67" i="3"/>
  <c r="G67" i="3" a="1"/>
  <c r="G67" i="3"/>
  <c r="F67" i="3" a="1"/>
  <c r="F67" i="3"/>
  <c r="E67" i="3" a="1"/>
  <c r="E67" i="3"/>
  <c r="I66" i="3" a="1"/>
  <c r="I66" i="3"/>
  <c r="H66" i="3"/>
  <c r="G66" i="3" a="1"/>
  <c r="G66" i="3"/>
  <c r="F66" i="3" a="1"/>
  <c r="F66" i="3"/>
  <c r="E66" i="3" a="1"/>
  <c r="E66" i="3"/>
  <c r="I65" i="3" a="1"/>
  <c r="I65" i="3"/>
  <c r="H65" i="3"/>
  <c r="G65" i="3" a="1"/>
  <c r="G65" i="3"/>
  <c r="F65" i="3" a="1"/>
  <c r="F65" i="3"/>
  <c r="E65" i="3" a="1"/>
  <c r="E65" i="3"/>
  <c r="I64" i="3" a="1"/>
  <c r="I64" i="3"/>
  <c r="H64" i="3"/>
  <c r="G64" i="3" a="1"/>
  <c r="G64" i="3"/>
  <c r="F64" i="3" a="1"/>
  <c r="F64" i="3"/>
  <c r="E64" i="3" a="1"/>
  <c r="E64" i="3"/>
  <c r="I63" i="3" a="1"/>
  <c r="I63" i="3"/>
  <c r="H63" i="3"/>
  <c r="G63" i="3" a="1"/>
  <c r="G63" i="3"/>
  <c r="F63" i="3" a="1"/>
  <c r="F63" i="3"/>
  <c r="E63" i="3" a="1"/>
  <c r="E63" i="3"/>
  <c r="I62" i="3" a="1"/>
  <c r="I62" i="3"/>
  <c r="H62" i="3"/>
  <c r="G62" i="3" a="1"/>
  <c r="G62" i="3"/>
  <c r="F62" i="3" a="1"/>
  <c r="F62" i="3"/>
  <c r="E62" i="3" a="1"/>
  <c r="E62" i="3"/>
  <c r="I61" i="3" a="1"/>
  <c r="I61" i="3"/>
  <c r="H61" i="3"/>
  <c r="G61" i="3" a="1"/>
  <c r="G61" i="3"/>
  <c r="F61" i="3" a="1"/>
  <c r="F61" i="3"/>
  <c r="E61" i="3" a="1"/>
  <c r="E61" i="3"/>
  <c r="I60" i="3" a="1"/>
  <c r="I60" i="3"/>
  <c r="H60" i="3"/>
  <c r="G60" i="3" a="1"/>
  <c r="G60" i="3"/>
  <c r="F60" i="3" a="1"/>
  <c r="F60" i="3"/>
  <c r="E60" i="3" a="1"/>
  <c r="E60" i="3"/>
  <c r="I59" i="3" a="1"/>
  <c r="I59" i="3"/>
  <c r="H59" i="3"/>
  <c r="G59" i="3" a="1"/>
  <c r="G59" i="3"/>
  <c r="F59" i="3" a="1"/>
  <c r="F59" i="3"/>
  <c r="E59" i="3" a="1"/>
  <c r="E59" i="3"/>
  <c r="I58" i="3" a="1"/>
  <c r="I58" i="3"/>
  <c r="H58" i="3"/>
  <c r="G58" i="3" a="1"/>
  <c r="G58" i="3"/>
  <c r="F58" i="3" a="1"/>
  <c r="F58" i="3"/>
  <c r="E58" i="3" a="1"/>
  <c r="E58" i="3"/>
  <c r="I57" i="3" a="1"/>
  <c r="I57" i="3"/>
  <c r="H57" i="3"/>
  <c r="G57" i="3" a="1"/>
  <c r="G57" i="3"/>
  <c r="F57" i="3" a="1"/>
  <c r="F57" i="3"/>
  <c r="E57" i="3" a="1"/>
  <c r="E57" i="3"/>
  <c r="I56" i="3" a="1"/>
  <c r="I56" i="3"/>
  <c r="H56" i="3"/>
  <c r="G56" i="3" a="1"/>
  <c r="G56" i="3"/>
  <c r="F56" i="3" a="1"/>
  <c r="F56" i="3"/>
  <c r="E56" i="3" a="1"/>
  <c r="E56" i="3"/>
  <c r="I55" i="3" a="1"/>
  <c r="I55" i="3"/>
  <c r="H55" i="3"/>
  <c r="G55" i="3" a="1"/>
  <c r="G55" i="3"/>
  <c r="F55" i="3" a="1"/>
  <c r="F55" i="3"/>
  <c r="E55" i="3" a="1"/>
  <c r="E55" i="3"/>
  <c r="I54" i="3" a="1"/>
  <c r="I54" i="3"/>
  <c r="H54" i="3"/>
  <c r="G54" i="3" a="1"/>
  <c r="G54" i="3"/>
  <c r="F54" i="3" a="1"/>
  <c r="F54" i="3"/>
  <c r="E54" i="3" a="1"/>
  <c r="E54" i="3"/>
  <c r="I53" i="3" a="1"/>
  <c r="I53" i="3"/>
  <c r="H53" i="3"/>
  <c r="G53" i="3" a="1"/>
  <c r="G53" i="3"/>
  <c r="F53" i="3" a="1"/>
  <c r="F53" i="3"/>
  <c r="E53" i="3" a="1"/>
  <c r="E53" i="3"/>
  <c r="I52" i="3" a="1"/>
  <c r="I52" i="3"/>
  <c r="H52" i="3"/>
  <c r="G52" i="3" a="1"/>
  <c r="G52" i="3"/>
  <c r="F52" i="3" a="1"/>
  <c r="F52" i="3"/>
  <c r="E52" i="3" a="1"/>
  <c r="E52" i="3"/>
  <c r="I51" i="3" a="1"/>
  <c r="I51" i="3"/>
  <c r="H51" i="3"/>
  <c r="G51" i="3" a="1"/>
  <c r="G51" i="3"/>
  <c r="F51" i="3" a="1"/>
  <c r="F51" i="3"/>
  <c r="E51" i="3" a="1"/>
  <c r="E51" i="3"/>
  <c r="I50" i="3" a="1"/>
  <c r="I50" i="3"/>
  <c r="H50" i="3"/>
  <c r="G50" i="3" a="1"/>
  <c r="G50" i="3"/>
  <c r="F50" i="3" a="1"/>
  <c r="F50" i="3"/>
  <c r="E50" i="3" a="1"/>
  <c r="E50" i="3"/>
  <c r="I49" i="3" a="1"/>
  <c r="I49" i="3"/>
  <c r="H49" i="3"/>
  <c r="G49" i="3" a="1"/>
  <c r="G49" i="3"/>
  <c r="F49" i="3" a="1"/>
  <c r="F49" i="3"/>
  <c r="E49" i="3" a="1"/>
  <c r="E49" i="3"/>
  <c r="I48" i="3" a="1"/>
  <c r="I48" i="3"/>
  <c r="H48" i="3"/>
  <c r="G48" i="3" a="1"/>
  <c r="G48" i="3"/>
  <c r="F48" i="3" a="1"/>
  <c r="F48" i="3"/>
  <c r="E48" i="3" a="1"/>
  <c r="E48" i="3"/>
  <c r="I47" i="3" a="1"/>
  <c r="I47" i="3"/>
  <c r="H47" i="3"/>
  <c r="G47" i="3" a="1"/>
  <c r="G47" i="3"/>
  <c r="F47" i="3" a="1"/>
  <c r="F47" i="3"/>
  <c r="E47" i="3" a="1"/>
  <c r="E47" i="3"/>
  <c r="I46" i="3" a="1"/>
  <c r="I46" i="3"/>
  <c r="H46" i="3"/>
  <c r="G46" i="3" a="1"/>
  <c r="G46" i="3"/>
  <c r="F46" i="3" a="1"/>
  <c r="F46" i="3"/>
  <c r="E46" i="3" a="1"/>
  <c r="E46" i="3"/>
  <c r="I45" i="3" a="1"/>
  <c r="I45" i="3"/>
  <c r="H45" i="3"/>
  <c r="G45" i="3" a="1"/>
  <c r="G45" i="3"/>
  <c r="F45" i="3" a="1"/>
  <c r="F45" i="3"/>
  <c r="E45" i="3" a="1"/>
  <c r="E45" i="3"/>
  <c r="I44" i="3" a="1"/>
  <c r="I44" i="3"/>
  <c r="H44" i="3"/>
  <c r="G44" i="3" a="1"/>
  <c r="G44" i="3"/>
  <c r="F44" i="3" a="1"/>
  <c r="F44" i="3"/>
  <c r="E44" i="3" a="1"/>
  <c r="E44" i="3"/>
  <c r="I43" i="3" a="1"/>
  <c r="I43" i="3"/>
  <c r="H43" i="3"/>
  <c r="G43" i="3" a="1"/>
  <c r="G43" i="3"/>
  <c r="F43" i="3" a="1"/>
  <c r="F43" i="3"/>
  <c r="E43" i="3" a="1"/>
  <c r="E43" i="3"/>
  <c r="I42" i="3" a="1"/>
  <c r="I42" i="3"/>
  <c r="H42" i="3"/>
  <c r="G42" i="3" a="1"/>
  <c r="G42" i="3"/>
  <c r="F42" i="3" a="1"/>
  <c r="F42" i="3"/>
  <c r="E42" i="3" a="1"/>
  <c r="E42" i="3"/>
  <c r="I41" i="3" a="1"/>
  <c r="I41" i="3"/>
  <c r="H41" i="3"/>
  <c r="G41" i="3" a="1"/>
  <c r="G41" i="3"/>
  <c r="F41" i="3" a="1"/>
  <c r="F41" i="3"/>
  <c r="E41" i="3" a="1"/>
  <c r="E41" i="3"/>
  <c r="I40" i="3" a="1"/>
  <c r="I40" i="3"/>
  <c r="H40" i="3"/>
  <c r="G40" i="3" a="1"/>
  <c r="G40" i="3"/>
  <c r="F40" i="3" a="1"/>
  <c r="F40" i="3"/>
  <c r="E40" i="3" a="1"/>
  <c r="E40" i="3"/>
  <c r="I39" i="3" a="1"/>
  <c r="I39" i="3"/>
  <c r="H39" i="3"/>
  <c r="G39" i="3" a="1"/>
  <c r="G39" i="3"/>
  <c r="F39" i="3" a="1"/>
  <c r="F39" i="3"/>
  <c r="E39" i="3" a="1"/>
  <c r="E39" i="3"/>
  <c r="I38" i="3" a="1"/>
  <c r="I38" i="3"/>
  <c r="H38" i="3"/>
  <c r="G38" i="3" a="1"/>
  <c r="G38" i="3"/>
  <c r="F38" i="3" a="1"/>
  <c r="F38" i="3"/>
  <c r="E38" i="3" a="1"/>
  <c r="E38" i="3"/>
  <c r="I37" i="3" a="1"/>
  <c r="I37" i="3"/>
  <c r="H37" i="3"/>
  <c r="G37" i="3" a="1"/>
  <c r="G37" i="3"/>
  <c r="F37" i="3" a="1"/>
  <c r="F37" i="3"/>
  <c r="E37" i="3" a="1"/>
  <c r="E37" i="3"/>
  <c r="I36" i="3" a="1"/>
  <c r="I36" i="3"/>
  <c r="H36" i="3"/>
  <c r="G36" i="3" a="1"/>
  <c r="G36" i="3"/>
  <c r="F36" i="3" a="1"/>
  <c r="F36" i="3"/>
  <c r="E36" i="3" a="1"/>
  <c r="E36" i="3"/>
  <c r="I35" i="3" a="1"/>
  <c r="I35" i="3"/>
  <c r="H35" i="3"/>
  <c r="G35" i="3" a="1"/>
  <c r="G35" i="3"/>
  <c r="F35" i="3" a="1"/>
  <c r="F35" i="3"/>
  <c r="E35" i="3" a="1"/>
  <c r="E35" i="3"/>
  <c r="I34" i="3" a="1"/>
  <c r="I34" i="3"/>
  <c r="H34" i="3"/>
  <c r="G34" i="3" a="1"/>
  <c r="G34" i="3"/>
  <c r="F34" i="3" a="1"/>
  <c r="F34" i="3"/>
  <c r="E34" i="3" a="1"/>
  <c r="E34" i="3"/>
  <c r="I33" i="3" a="1"/>
  <c r="I33" i="3"/>
  <c r="H33" i="3"/>
  <c r="G33" i="3" a="1"/>
  <c r="G33" i="3"/>
  <c r="F33" i="3" a="1"/>
  <c r="F33" i="3"/>
  <c r="E33" i="3" a="1"/>
  <c r="E33" i="3"/>
  <c r="I32" i="3" a="1"/>
  <c r="I32" i="3"/>
  <c r="H32" i="3"/>
  <c r="G32" i="3" a="1"/>
  <c r="G32" i="3"/>
  <c r="F32" i="3" a="1"/>
  <c r="F32" i="3"/>
  <c r="E32" i="3" a="1"/>
  <c r="E32" i="3"/>
  <c r="I31" i="3" a="1"/>
  <c r="I31" i="3"/>
  <c r="H31" i="3"/>
  <c r="G31" i="3" a="1"/>
  <c r="G31" i="3"/>
  <c r="F31" i="3" a="1"/>
  <c r="F31" i="3"/>
  <c r="E31" i="3" a="1"/>
  <c r="E31" i="3"/>
  <c r="I30" i="3" a="1"/>
  <c r="I30" i="3"/>
  <c r="H30" i="3"/>
  <c r="G30" i="3" a="1"/>
  <c r="G30" i="3"/>
  <c r="F30" i="3" a="1"/>
  <c r="F30" i="3"/>
  <c r="E30" i="3" a="1"/>
  <c r="E30" i="3"/>
  <c r="I29" i="3" a="1"/>
  <c r="I29" i="3"/>
  <c r="H29" i="3"/>
  <c r="G29" i="3" a="1"/>
  <c r="G29" i="3"/>
  <c r="F29" i="3" a="1"/>
  <c r="F29" i="3"/>
  <c r="E29" i="3" a="1"/>
  <c r="E29" i="3"/>
  <c r="I28" i="3" a="1"/>
  <c r="I28" i="3"/>
  <c r="H28" i="3"/>
  <c r="G28" i="3" a="1"/>
  <c r="G28" i="3"/>
  <c r="F28" i="3" a="1"/>
  <c r="F28" i="3"/>
  <c r="E28" i="3" a="1"/>
  <c r="E28" i="3"/>
  <c r="I27" i="3" a="1"/>
  <c r="I27" i="3"/>
  <c r="H27" i="3"/>
  <c r="G27" i="3" a="1"/>
  <c r="G27" i="3"/>
  <c r="F27" i="3" a="1"/>
  <c r="F27" i="3"/>
  <c r="E27" i="3" a="1"/>
  <c r="E27" i="3"/>
  <c r="I26" i="3" a="1"/>
  <c r="I26" i="3"/>
  <c r="H26" i="3"/>
  <c r="G26" i="3" a="1"/>
  <c r="G26" i="3"/>
  <c r="F26" i="3" a="1"/>
  <c r="F26" i="3"/>
  <c r="E26" i="3" a="1"/>
  <c r="E26" i="3"/>
  <c r="I25" i="3" a="1"/>
  <c r="I25" i="3"/>
  <c r="H25" i="3"/>
  <c r="G25" i="3" a="1"/>
  <c r="G25" i="3"/>
  <c r="F25" i="3" a="1"/>
  <c r="F25" i="3"/>
  <c r="E25" i="3" a="1"/>
  <c r="E25" i="3"/>
  <c r="I24" i="3" a="1"/>
  <c r="I24" i="3"/>
  <c r="H24" i="3"/>
  <c r="G24" i="3" a="1"/>
  <c r="G24" i="3"/>
  <c r="F24" i="3" a="1"/>
  <c r="F24" i="3"/>
  <c r="E24" i="3" a="1"/>
  <c r="E24" i="3"/>
  <c r="I23" i="3" a="1"/>
  <c r="I23" i="3"/>
  <c r="H23" i="3"/>
  <c r="G23" i="3" a="1"/>
  <c r="G23" i="3"/>
  <c r="F23" i="3" a="1"/>
  <c r="F23" i="3"/>
  <c r="E23" i="3" a="1"/>
  <c r="E23" i="3"/>
  <c r="I22" i="3" a="1"/>
  <c r="I22" i="3"/>
  <c r="H22" i="3"/>
  <c r="G22" i="3" a="1"/>
  <c r="G22" i="3"/>
  <c r="F22" i="3" a="1"/>
  <c r="F22" i="3"/>
  <c r="E22" i="3" a="1"/>
  <c r="E22" i="3"/>
  <c r="I21" i="3" a="1"/>
  <c r="I21" i="3"/>
  <c r="H21" i="3"/>
  <c r="G21" i="3" a="1"/>
  <c r="G21" i="3"/>
  <c r="F21" i="3" a="1"/>
  <c r="F21" i="3"/>
  <c r="E21" i="3" a="1"/>
  <c r="E21" i="3"/>
  <c r="I20" i="3" a="1"/>
  <c r="I20" i="3"/>
  <c r="H20" i="3"/>
  <c r="G20" i="3" a="1"/>
  <c r="G20" i="3"/>
  <c r="F20" i="3" a="1"/>
  <c r="F20" i="3"/>
  <c r="E20" i="3" a="1"/>
  <c r="E20" i="3"/>
  <c r="I19" i="3" a="1"/>
  <c r="I19" i="3"/>
  <c r="H19" i="3"/>
  <c r="G19" i="3" a="1"/>
  <c r="G19" i="3"/>
  <c r="F19" i="3" a="1"/>
  <c r="F19" i="3"/>
  <c r="E19" i="3" a="1"/>
  <c r="E19" i="3"/>
  <c r="I18" i="3" a="1"/>
  <c r="I18" i="3"/>
  <c r="H18" i="3"/>
  <c r="G18" i="3" a="1"/>
  <c r="G18" i="3"/>
  <c r="F18" i="3" a="1"/>
  <c r="F18" i="3"/>
  <c r="E18" i="3" a="1"/>
  <c r="E18" i="3"/>
  <c r="I17" i="3" a="1"/>
  <c r="I17" i="3"/>
  <c r="H17" i="3"/>
  <c r="G17" i="3" a="1"/>
  <c r="G17" i="3"/>
  <c r="F17" i="3" a="1"/>
  <c r="F17" i="3"/>
  <c r="E17" i="3" a="1"/>
  <c r="E17" i="3"/>
  <c r="I16" i="3" a="1"/>
  <c r="I16" i="3"/>
  <c r="H16" i="3"/>
  <c r="G16" i="3" a="1"/>
  <c r="G16" i="3"/>
  <c r="F16" i="3" a="1"/>
  <c r="F16" i="3"/>
  <c r="E16" i="3" a="1"/>
  <c r="E16" i="3"/>
  <c r="I15" i="3" a="1"/>
  <c r="I15" i="3"/>
  <c r="H15" i="3"/>
  <c r="G15" i="3" a="1"/>
  <c r="G15" i="3"/>
  <c r="F15" i="3" a="1"/>
  <c r="F15" i="3"/>
  <c r="E15" i="3" a="1"/>
  <c r="E15" i="3"/>
  <c r="I14" i="3" a="1"/>
  <c r="I14" i="3"/>
  <c r="H14" i="3"/>
  <c r="G14" i="3" a="1"/>
  <c r="G14" i="3"/>
  <c r="F14" i="3" a="1"/>
  <c r="F14" i="3"/>
  <c r="E14" i="3" a="1"/>
  <c r="E14" i="3"/>
  <c r="I13" i="3" a="1"/>
  <c r="I13" i="3"/>
  <c r="H13" i="3"/>
  <c r="G13" i="3" a="1"/>
  <c r="G13" i="3"/>
  <c r="F13" i="3" a="1"/>
  <c r="F13" i="3"/>
  <c r="E13" i="3" a="1"/>
  <c r="E13" i="3"/>
  <c r="I12" i="3" a="1"/>
  <c r="I12" i="3"/>
  <c r="H12" i="3"/>
  <c r="G12" i="3" a="1"/>
  <c r="G12" i="3"/>
  <c r="F12" i="3" a="1"/>
  <c r="F12" i="3"/>
  <c r="E12" i="3" a="1"/>
  <c r="E12" i="3"/>
  <c r="I11" i="3" a="1"/>
  <c r="I11" i="3"/>
  <c r="H11" i="3"/>
  <c r="G11" i="3" a="1"/>
  <c r="G11" i="3"/>
  <c r="F11" i="3" a="1"/>
  <c r="F11" i="3"/>
  <c r="E11" i="3" a="1"/>
  <c r="E11" i="3"/>
  <c r="I10" i="3" a="1"/>
  <c r="I10" i="3"/>
  <c r="H10" i="3"/>
  <c r="G10" i="3" a="1"/>
  <c r="G10" i="3"/>
  <c r="F10" i="3" a="1"/>
  <c r="F10" i="3"/>
  <c r="E10" i="3" a="1"/>
  <c r="E10" i="3"/>
  <c r="I9" i="3" a="1"/>
  <c r="I9" i="3"/>
  <c r="H9" i="3"/>
  <c r="G9" i="3" a="1"/>
  <c r="G9" i="3"/>
  <c r="F9" i="3" a="1"/>
  <c r="F9" i="3"/>
  <c r="E9" i="3" a="1"/>
  <c r="E9" i="3"/>
  <c r="I8" i="3" a="1"/>
  <c r="I8" i="3"/>
  <c r="H8" i="3"/>
  <c r="G8" i="3" a="1"/>
  <c r="G8" i="3"/>
  <c r="F8" i="3" a="1"/>
  <c r="F8" i="3"/>
  <c r="E8" i="3" a="1"/>
  <c r="E8" i="3"/>
  <c r="I7" i="3" a="1"/>
  <c r="I7" i="3"/>
  <c r="H7" i="3"/>
  <c r="G7" i="3" a="1"/>
  <c r="G7" i="3"/>
  <c r="F7" i="3" a="1"/>
  <c r="F7" i="3"/>
  <c r="E7" i="3" a="1"/>
  <c r="E7" i="3"/>
  <c r="I6" i="3" a="1"/>
  <c r="I6" i="3"/>
  <c r="H6" i="3"/>
  <c r="G6" i="3" a="1"/>
  <c r="G6" i="3"/>
  <c r="F6" i="3" a="1"/>
  <c r="F6" i="3"/>
  <c r="E6" i="3" a="1"/>
  <c r="E6" i="3"/>
  <c r="I5" i="3" a="1"/>
  <c r="I5" i="3"/>
  <c r="H5" i="3"/>
  <c r="G5" i="3" a="1"/>
  <c r="G5" i="3"/>
  <c r="F5" i="3" a="1"/>
  <c r="F5" i="3"/>
  <c r="E5" i="3" a="1"/>
  <c r="E5" i="3"/>
  <c r="I4" i="3" a="1"/>
  <c r="I4" i="3"/>
  <c r="H4" i="3"/>
  <c r="G4" i="3" a="1"/>
  <c r="G4" i="3"/>
  <c r="F4" i="3" a="1"/>
  <c r="F4" i="3"/>
  <c r="E4" i="3" a="1"/>
  <c r="E4" i="3"/>
  <c r="I3" i="3" a="1"/>
  <c r="I3" i="3"/>
  <c r="H3" i="3"/>
  <c r="G3" i="3" a="1"/>
  <c r="G3" i="3"/>
  <c r="F3" i="3" a="1"/>
  <c r="F3" i="3"/>
  <c r="E3" i="3" a="1"/>
  <c r="E3" i="3"/>
  <c r="I2" i="3" a="1"/>
  <c r="I2" i="3"/>
  <c r="H2" i="3"/>
  <c r="G2" i="3" a="1"/>
  <c r="G2" i="3"/>
  <c r="F2" i="3" a="1"/>
  <c r="F2" i="3"/>
  <c r="E2" i="3" a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<sst xmlns="http://schemas.openxmlformats.org/spreadsheetml/2006/main" count="4265" uniqueCount="1334">
  <si>
    <t>OrderID</t>
  </si>
  <si>
    <t>CustomerID</t>
  </si>
  <si>
    <t>OrderDate</t>
  </si>
  <si>
    <t>ProductType</t>
  </si>
  <si>
    <t>OrderValue</t>
  </si>
  <si>
    <t>ORDER00001</t>
  </si>
  <si>
    <t>CUST0259</t>
  </si>
  <si>
    <t>Canvas Print</t>
  </si>
  <si>
    <t>ORDER00002</t>
  </si>
  <si>
    <t>CUST0161</t>
  </si>
  <si>
    <t>Poster</t>
  </si>
  <si>
    <t>ORDER00003</t>
  </si>
  <si>
    <t>CUST0178</t>
  </si>
  <si>
    <t>Business Card</t>
  </si>
  <si>
    <t>ORDER00004</t>
  </si>
  <si>
    <t>CUST0010</t>
  </si>
  <si>
    <t>Flyer</t>
  </si>
  <si>
    <t>ORDER00005</t>
  </si>
  <si>
    <t>CUST0261</t>
  </si>
  <si>
    <t>ORDER00006</t>
  </si>
  <si>
    <t>CUST0138</t>
  </si>
  <si>
    <t>ORDER00007</t>
  </si>
  <si>
    <t>CUST0172</t>
  </si>
  <si>
    <t>ORDER00008</t>
  </si>
  <si>
    <t>CUST0013</t>
  </si>
  <si>
    <t>ORDER00009</t>
  </si>
  <si>
    <t>CUST0168</t>
  </si>
  <si>
    <t>ORDER00010</t>
  </si>
  <si>
    <t>CUST0130</t>
  </si>
  <si>
    <t>Photo Book</t>
  </si>
  <si>
    <t>ORDER00011</t>
  </si>
  <si>
    <t>CUST0084</t>
  </si>
  <si>
    <t>ORDER00012</t>
  </si>
  <si>
    <t>CUST0101</t>
  </si>
  <si>
    <t>ORDER00013</t>
  </si>
  <si>
    <t>CUST0273</t>
  </si>
  <si>
    <t>ORDER00014</t>
  </si>
  <si>
    <t>CUST0265</t>
  </si>
  <si>
    <t>ORDER00015</t>
  </si>
  <si>
    <t>CUST0038</t>
  </si>
  <si>
    <t>ORDER00016</t>
  </si>
  <si>
    <t>CUST0094</t>
  </si>
  <si>
    <t>ORDER00017</t>
  </si>
  <si>
    <t>CUST0095</t>
  </si>
  <si>
    <t>ORDER00018</t>
  </si>
  <si>
    <t>CUST0069</t>
  </si>
  <si>
    <t>ORDER00019</t>
  </si>
  <si>
    <t>CUST0236</t>
  </si>
  <si>
    <t>ORDER00020</t>
  </si>
  <si>
    <t>CUST0137</t>
  </si>
  <si>
    <t>Greeting Card</t>
  </si>
  <si>
    <t>ORDER00021</t>
  </si>
  <si>
    <t>CUST0076</t>
  </si>
  <si>
    <t>ORDER00022</t>
  </si>
  <si>
    <t>CUST0035</t>
  </si>
  <si>
    <t>ORDER00023</t>
  </si>
  <si>
    <t>CUST0001</t>
  </si>
  <si>
    <t>ORDER00024</t>
  </si>
  <si>
    <t>CUST0296</t>
  </si>
  <si>
    <t>ORDER00025</t>
  </si>
  <si>
    <t>CUST0060</t>
  </si>
  <si>
    <t>ORDER00026</t>
  </si>
  <si>
    <t>CUST0267</t>
  </si>
  <si>
    <t>ORDER00027</t>
  </si>
  <si>
    <t>CUST0229</t>
  </si>
  <si>
    <t>ORDER00028</t>
  </si>
  <si>
    <t>CUST0270</t>
  </si>
  <si>
    <t>ORDER00029</t>
  </si>
  <si>
    <t>CUST0286</t>
  </si>
  <si>
    <t>ORDER00030</t>
  </si>
  <si>
    <t>CUST0291</t>
  </si>
  <si>
    <t>ORDER00031</t>
  </si>
  <si>
    <t>CUST0213</t>
  </si>
  <si>
    <t>ORDER00032</t>
  </si>
  <si>
    <t>CUST0165</t>
  </si>
  <si>
    <t>ORDER00033</t>
  </si>
  <si>
    <t>CUST0005</t>
  </si>
  <si>
    <t>ORDER00034</t>
  </si>
  <si>
    <t>CUST0078</t>
  </si>
  <si>
    <t>ORDER00035</t>
  </si>
  <si>
    <t>CUST0062</t>
  </si>
  <si>
    <t>ORDER00036</t>
  </si>
  <si>
    <t>CUST0132</t>
  </si>
  <si>
    <t>ORDER00037</t>
  </si>
  <si>
    <t>CUST0089</t>
  </si>
  <si>
    <t>ORDER00038</t>
  </si>
  <si>
    <t>CUST0237</t>
  </si>
  <si>
    <t>ORDER00039</t>
  </si>
  <si>
    <t>CUST0042</t>
  </si>
  <si>
    <t>ORDER00040</t>
  </si>
  <si>
    <t>ORDER00041</t>
  </si>
  <si>
    <t>ORDER00042</t>
  </si>
  <si>
    <t>CUST0295</t>
  </si>
  <si>
    <t>ORDER00043</t>
  </si>
  <si>
    <t>CUST0104</t>
  </si>
  <si>
    <t>ORDER00044</t>
  </si>
  <si>
    <t>CUST0014</t>
  </si>
  <si>
    <t>ORDER00045</t>
  </si>
  <si>
    <t>CUST0288</t>
  </si>
  <si>
    <t>ORDER00046</t>
  </si>
  <si>
    <t>CUST0179</t>
  </si>
  <si>
    <t>ORDER00047</t>
  </si>
  <si>
    <t>CUST0125</t>
  </si>
  <si>
    <t>ORDER00048</t>
  </si>
  <si>
    <t>CUST0023</t>
  </si>
  <si>
    <t>ORDER00049</t>
  </si>
  <si>
    <t>CUST0063</t>
  </si>
  <si>
    <t>ORDER00050</t>
  </si>
  <si>
    <t>CUST0143</t>
  </si>
  <si>
    <t>ORDER00051</t>
  </si>
  <si>
    <t>CUST0153</t>
  </si>
  <si>
    <t>ORDER00052</t>
  </si>
  <si>
    <t>CUST0145</t>
  </si>
  <si>
    <t>ORDER00053</t>
  </si>
  <si>
    <t>CUST0225</t>
  </si>
  <si>
    <t>ORDER00054</t>
  </si>
  <si>
    <t>ORDER00055</t>
  </si>
  <si>
    <t>ORDER00056</t>
  </si>
  <si>
    <t>CUST0039</t>
  </si>
  <si>
    <t>ORDER00057</t>
  </si>
  <si>
    <t>CUST0198</t>
  </si>
  <si>
    <t>ORDER00058</t>
  </si>
  <si>
    <t>CUST0134</t>
  </si>
  <si>
    <t>ORDER00059</t>
  </si>
  <si>
    <t>CUST0067</t>
  </si>
  <si>
    <t>ORDER00060</t>
  </si>
  <si>
    <t>ORDER00061</t>
  </si>
  <si>
    <t>ORDER00062</t>
  </si>
  <si>
    <t>CUST0015</t>
  </si>
  <si>
    <t>ORDER00063</t>
  </si>
  <si>
    <t>CUST0111</t>
  </si>
  <si>
    <t>ORDER00064</t>
  </si>
  <si>
    <t>CUST0157</t>
  </si>
  <si>
    <t>ORDER00065</t>
  </si>
  <si>
    <t>CUST0289</t>
  </si>
  <si>
    <t>ORDER00066</t>
  </si>
  <si>
    <t>CUST0231</t>
  </si>
  <si>
    <t>ORDER00067</t>
  </si>
  <si>
    <t>ORDER00068</t>
  </si>
  <si>
    <t>ORDER00069</t>
  </si>
  <si>
    <t>CUST0097</t>
  </si>
  <si>
    <t>ORDER00070</t>
  </si>
  <si>
    <t>ORDER00071</t>
  </si>
  <si>
    <t>CUST0254</t>
  </si>
  <si>
    <t>ORDER00072</t>
  </si>
  <si>
    <t>CUST0196</t>
  </si>
  <si>
    <t>ORDER00073</t>
  </si>
  <si>
    <t>CUST0086</t>
  </si>
  <si>
    <t>ORDER00074</t>
  </si>
  <si>
    <t>ORDER00075</t>
  </si>
  <si>
    <t>ORDER00076</t>
  </si>
  <si>
    <t>CUST0123</t>
  </si>
  <si>
    <t>ORDER00077</t>
  </si>
  <si>
    <t>CUST0118</t>
  </si>
  <si>
    <t>ORDER00078</t>
  </si>
  <si>
    <t>CUST0294</t>
  </si>
  <si>
    <t>ORDER00079</t>
  </si>
  <si>
    <t>CUST0159</t>
  </si>
  <si>
    <t>ORDER00080</t>
  </si>
  <si>
    <t>CUST0228</t>
  </si>
  <si>
    <t>ORDER00081</t>
  </si>
  <si>
    <t>CUST0216</t>
  </si>
  <si>
    <t>ORDER00082</t>
  </si>
  <si>
    <t>CUST0184</t>
  </si>
  <si>
    <t>ORDER00083</t>
  </si>
  <si>
    <t>ORDER00084</t>
  </si>
  <si>
    <t>ORDER00085</t>
  </si>
  <si>
    <t>CUST0136</t>
  </si>
  <si>
    <t>ORDER00086</t>
  </si>
  <si>
    <t>ORDER00087</t>
  </si>
  <si>
    <t>ORDER00088</t>
  </si>
  <si>
    <t>CUST0047</t>
  </si>
  <si>
    <t>ORDER00089</t>
  </si>
  <si>
    <t>CUST0173</t>
  </si>
  <si>
    <t>ORDER00090</t>
  </si>
  <si>
    <t>ORDER00091</t>
  </si>
  <si>
    <t>ORDER00092</t>
  </si>
  <si>
    <t>CUST0115</t>
  </si>
  <si>
    <t>ORDER00093</t>
  </si>
  <si>
    <t>CUST0243</t>
  </si>
  <si>
    <t>ORDER00094</t>
  </si>
  <si>
    <t>CUST0292</t>
  </si>
  <si>
    <t>ORDER00095</t>
  </si>
  <si>
    <t>CUST0282</t>
  </si>
  <si>
    <t>ORDER00096</t>
  </si>
  <si>
    <t>CUST0299</t>
  </si>
  <si>
    <t>ORDER00097</t>
  </si>
  <si>
    <t>CUST0283</t>
  </si>
  <si>
    <t>ORDER00098</t>
  </si>
  <si>
    <t>ORDER00099</t>
  </si>
  <si>
    <t>CUST0148</t>
  </si>
  <si>
    <t>ORDER00100</t>
  </si>
  <si>
    <t>CUST0011</t>
  </si>
  <si>
    <t>ORDER00101</t>
  </si>
  <si>
    <t>ORDER00102</t>
  </si>
  <si>
    <t>ORDER00103</t>
  </si>
  <si>
    <t>ORDER00104</t>
  </si>
  <si>
    <t>CUST0200</t>
  </si>
  <si>
    <t>ORDER00105</t>
  </si>
  <si>
    <t>ORDER00106</t>
  </si>
  <si>
    <t>CUST0218</t>
  </si>
  <si>
    <t>ORDER00107</t>
  </si>
  <si>
    <t>CUST0141</t>
  </si>
  <si>
    <t>ORDER00108</t>
  </si>
  <si>
    <t>ORDER00109</t>
  </si>
  <si>
    <t>CUST0210</t>
  </si>
  <si>
    <t>ORDER00110</t>
  </si>
  <si>
    <t>ORDER00111</t>
  </si>
  <si>
    <t>ORDER00112</t>
  </si>
  <si>
    <t>CUST0171</t>
  </si>
  <si>
    <t>ORDER00113</t>
  </si>
  <si>
    <t>CUST0133</t>
  </si>
  <si>
    <t>ORDER00114</t>
  </si>
  <si>
    <t>CUST0293</t>
  </si>
  <si>
    <t>ORDER00115</t>
  </si>
  <si>
    <t>CUST0127</t>
  </si>
  <si>
    <t>ORDER00116</t>
  </si>
  <si>
    <t>CUST0106</t>
  </si>
  <si>
    <t>ORDER00117</t>
  </si>
  <si>
    <t>CUST0092</t>
  </si>
  <si>
    <t>ORDER00118</t>
  </si>
  <si>
    <t>CUST0287</t>
  </si>
  <si>
    <t>ORDER00119</t>
  </si>
  <si>
    <t>CUST0051</t>
  </si>
  <si>
    <t>ORDER00120</t>
  </si>
  <si>
    <t>CUST0029</t>
  </si>
  <si>
    <t>ORDER00121</t>
  </si>
  <si>
    <t>ORDER00122</t>
  </si>
  <si>
    <t>CUST0297</t>
  </si>
  <si>
    <t>ORDER00123</t>
  </si>
  <si>
    <t>CUST0214</t>
  </si>
  <si>
    <t>ORDER00124</t>
  </si>
  <si>
    <t>ORDER00125</t>
  </si>
  <si>
    <t>CUST0257</t>
  </si>
  <si>
    <t>ORDER00126</t>
  </si>
  <si>
    <t>ORDER00127</t>
  </si>
  <si>
    <t>CUST0110</t>
  </si>
  <si>
    <t>ORDER00128</t>
  </si>
  <si>
    <t>CUST0182</t>
  </si>
  <si>
    <t>ORDER00129</t>
  </si>
  <si>
    <t>ORDER00130</t>
  </si>
  <si>
    <t>CUST0055</t>
  </si>
  <si>
    <t>ORDER00131</t>
  </si>
  <si>
    <t>CUST0149</t>
  </si>
  <si>
    <t>ORDER00132</t>
  </si>
  <si>
    <t>ORDER00133</t>
  </si>
  <si>
    <t>CUST0202</t>
  </si>
  <si>
    <t>ORDER00134</t>
  </si>
  <si>
    <t>CUST0117</t>
  </si>
  <si>
    <t>ORDER00135</t>
  </si>
  <si>
    <t>CUST0154</t>
  </si>
  <si>
    <t>ORDER00136</t>
  </si>
  <si>
    <t>ORDER00137</t>
  </si>
  <si>
    <t>ORDER00138</t>
  </si>
  <si>
    <t>CUST0244</t>
  </si>
  <si>
    <t>ORDER00139</t>
  </si>
  <si>
    <t>CUST0025</t>
  </si>
  <si>
    <t>ORDER00140</t>
  </si>
  <si>
    <t>CUST0090</t>
  </si>
  <si>
    <t>ORDER00141</t>
  </si>
  <si>
    <t>CUST0075</t>
  </si>
  <si>
    <t>ORDER00142</t>
  </si>
  <si>
    <t>ORDER00143</t>
  </si>
  <si>
    <t>ORDER00144</t>
  </si>
  <si>
    <t>CUST0017</t>
  </si>
  <si>
    <t>ORDER00145</t>
  </si>
  <si>
    <t>CUST0128</t>
  </si>
  <si>
    <t>ORDER00146</t>
  </si>
  <si>
    <t>CUST0251</t>
  </si>
  <si>
    <t>ORDER00147</t>
  </si>
  <si>
    <t>ORDER00148</t>
  </si>
  <si>
    <t>ORDER00149</t>
  </si>
  <si>
    <t>CUST0152</t>
  </si>
  <si>
    <t>ORDER00150</t>
  </si>
  <si>
    <t>ORDER00151</t>
  </si>
  <si>
    <t>CUST0180</t>
  </si>
  <si>
    <t>ORDER00152</t>
  </si>
  <si>
    <t>ORDER00153</t>
  </si>
  <si>
    <t>ORDER00154</t>
  </si>
  <si>
    <t>CUST0177</t>
  </si>
  <si>
    <t>ORDER00155</t>
  </si>
  <si>
    <t>CUST0285</t>
  </si>
  <si>
    <t>ORDER00156</t>
  </si>
  <si>
    <t>ORDER00157</t>
  </si>
  <si>
    <t>CUST0150</t>
  </si>
  <si>
    <t>ORDER00158</t>
  </si>
  <si>
    <t>ORDER00159</t>
  </si>
  <si>
    <t>CUST0156</t>
  </si>
  <si>
    <t>ORDER00160</t>
  </si>
  <si>
    <t>CUST0049</t>
  </si>
  <si>
    <t>ORDER00161</t>
  </si>
  <si>
    <t>ORDER00162</t>
  </si>
  <si>
    <t>ORDER00163</t>
  </si>
  <si>
    <t>ORDER00164</t>
  </si>
  <si>
    <t>ORDER00165</t>
  </si>
  <si>
    <t>ORDER00166</t>
  </si>
  <si>
    <t>CUST0189</t>
  </si>
  <si>
    <t>ORDER00167</t>
  </si>
  <si>
    <t>ORDER00168</t>
  </si>
  <si>
    <t>ORDER00169</t>
  </si>
  <si>
    <t>CUST0224</t>
  </si>
  <si>
    <t>ORDER00170</t>
  </si>
  <si>
    <t>ORDER00171</t>
  </si>
  <si>
    <t>CUST0215</t>
  </si>
  <si>
    <t>ORDER00172</t>
  </si>
  <si>
    <t>CUST0211</t>
  </si>
  <si>
    <t>ORDER00173</t>
  </si>
  <si>
    <t>CUST0032</t>
  </si>
  <si>
    <t>ORDER00174</t>
  </si>
  <si>
    <t>CUST0158</t>
  </si>
  <si>
    <t>ORDER00175</t>
  </si>
  <si>
    <t>ORDER00176</t>
  </si>
  <si>
    <t>ORDER00177</t>
  </si>
  <si>
    <t>CUST0144</t>
  </si>
  <si>
    <t>ORDER00178</t>
  </si>
  <si>
    <t>CUST0019</t>
  </si>
  <si>
    <t>ORDER00179</t>
  </si>
  <si>
    <t>CUST0018</t>
  </si>
  <si>
    <t>ORDER00180</t>
  </si>
  <si>
    <t>ORDER00181</t>
  </si>
  <si>
    <t>ORDER00182</t>
  </si>
  <si>
    <t>CUST0175</t>
  </si>
  <si>
    <t>ORDER00183</t>
  </si>
  <si>
    <t>CUST0194</t>
  </si>
  <si>
    <t>ORDER00184</t>
  </si>
  <si>
    <t>CUST0113</t>
  </si>
  <si>
    <t>ORDER00185</t>
  </si>
  <si>
    <t>CUST0114</t>
  </si>
  <si>
    <t>ORDER00186</t>
  </si>
  <si>
    <t>CUST0222</t>
  </si>
  <si>
    <t>ORDER00187</t>
  </si>
  <si>
    <t>CUST0166</t>
  </si>
  <si>
    <t>ORDER00188</t>
  </si>
  <si>
    <t>ORDER00189</t>
  </si>
  <si>
    <t>CUST0264</t>
  </si>
  <si>
    <t>ORDER00190</t>
  </si>
  <si>
    <t>ORDER00191</t>
  </si>
  <si>
    <t>CUST0131</t>
  </si>
  <si>
    <t>ORDER00192</t>
  </si>
  <si>
    <t>ORDER00193</t>
  </si>
  <si>
    <t>CUST0266</t>
  </si>
  <si>
    <t>ORDER00194</t>
  </si>
  <si>
    <t>CUST0162</t>
  </si>
  <si>
    <t>ORDER00195</t>
  </si>
  <si>
    <t>CUST0087</t>
  </si>
  <si>
    <t>ORDER00196</t>
  </si>
  <si>
    <t>ORDER00197</t>
  </si>
  <si>
    <t>ORDER00198</t>
  </si>
  <si>
    <t>ORDER00199</t>
  </si>
  <si>
    <t>CUST0008</t>
  </si>
  <si>
    <t>ORDER00200</t>
  </si>
  <si>
    <t>CUST0247</t>
  </si>
  <si>
    <t>ORDER00201</t>
  </si>
  <si>
    <t>CUST0255</t>
  </si>
  <si>
    <t>ORDER00202</t>
  </si>
  <si>
    <t>CUST0054</t>
  </si>
  <si>
    <t>ORDER00203</t>
  </si>
  <si>
    <t>CUST0249</t>
  </si>
  <si>
    <t>ORDER00204</t>
  </si>
  <si>
    <t>CUST0239</t>
  </si>
  <si>
    <t>ORDER00205</t>
  </si>
  <si>
    <t>ORDER00206</t>
  </si>
  <si>
    <t>ORDER00207</t>
  </si>
  <si>
    <t>ORDER00208</t>
  </si>
  <si>
    <t>ORDER00209</t>
  </si>
  <si>
    <t>ORDER00210</t>
  </si>
  <si>
    <t>ORDER00211</t>
  </si>
  <si>
    <t>ORDER00212</t>
  </si>
  <si>
    <t>CUST0096</t>
  </si>
  <si>
    <t>ORDER00213</t>
  </si>
  <si>
    <t>CUST0088</t>
  </si>
  <si>
    <t>ORDER00214</t>
  </si>
  <si>
    <t>ORDER00215</t>
  </si>
  <si>
    <t>ORDER00216</t>
  </si>
  <si>
    <t>CUST0120</t>
  </si>
  <si>
    <t>ORDER00217</t>
  </si>
  <si>
    <t>ORDER00218</t>
  </si>
  <si>
    <t>ORDER00219</t>
  </si>
  <si>
    <t>CUST0223</t>
  </si>
  <si>
    <t>ORDER00220</t>
  </si>
  <si>
    <t>CUST0007</t>
  </si>
  <si>
    <t>ORDER00221</t>
  </si>
  <si>
    <t>CUST0263</t>
  </si>
  <si>
    <t>ORDER00222</t>
  </si>
  <si>
    <t>ORDER00223</t>
  </si>
  <si>
    <t>CUST0151</t>
  </si>
  <si>
    <t>ORDER00224</t>
  </si>
  <si>
    <t>CUST0085</t>
  </si>
  <si>
    <t>ORDER00225</t>
  </si>
  <si>
    <t>CUST0147</t>
  </si>
  <si>
    <t>ORDER00226</t>
  </si>
  <si>
    <t>CUST0112</t>
  </si>
  <si>
    <t>ORDER00227</t>
  </si>
  <si>
    <t>CUST0036</t>
  </si>
  <si>
    <t>ORDER00228</t>
  </si>
  <si>
    <t>ORDER00229</t>
  </si>
  <si>
    <t>CUST0188</t>
  </si>
  <si>
    <t>ORDER00230</t>
  </si>
  <si>
    <t>CUST0082</t>
  </si>
  <si>
    <t>ORDER00231</t>
  </si>
  <si>
    <t>CUST0002</t>
  </si>
  <si>
    <t>ORDER00232</t>
  </si>
  <si>
    <t>CUST0197</t>
  </si>
  <si>
    <t>ORDER00233</t>
  </si>
  <si>
    <t>ORDER00234</t>
  </si>
  <si>
    <t>CUST0234</t>
  </si>
  <si>
    <t>ORDER00235</t>
  </si>
  <si>
    <t>CUST0195</t>
  </si>
  <si>
    <t>ORDER00236</t>
  </si>
  <si>
    <t>CUST0119</t>
  </si>
  <si>
    <t>ORDER00237</t>
  </si>
  <si>
    <t>CUST0020</t>
  </si>
  <si>
    <t>ORDER00238</t>
  </si>
  <si>
    <t>ORDER00239</t>
  </si>
  <si>
    <t>ORDER00240</t>
  </si>
  <si>
    <t>CUST0256</t>
  </si>
  <si>
    <t>ORDER00241</t>
  </si>
  <si>
    <t>ORDER00242</t>
  </si>
  <si>
    <t>CUST0226</t>
  </si>
  <si>
    <t>ORDER00243</t>
  </si>
  <si>
    <t>CUST0053</t>
  </si>
  <si>
    <t>ORDER00244</t>
  </si>
  <si>
    <t>CUST0280</t>
  </si>
  <si>
    <t>ORDER00245</t>
  </si>
  <si>
    <t>CUST0081</t>
  </si>
  <si>
    <t>ORDER00246</t>
  </si>
  <si>
    <t>ORDER00247</t>
  </si>
  <si>
    <t>ORDER00248</t>
  </si>
  <si>
    <t>ORDER00249</t>
  </si>
  <si>
    <t>CUST0059</t>
  </si>
  <si>
    <t>ORDER00250</t>
  </si>
  <si>
    <t>ORDER00251</t>
  </si>
  <si>
    <t>ORDER00252</t>
  </si>
  <si>
    <t>ORDER00253</t>
  </si>
  <si>
    <t>CUST0209</t>
  </si>
  <si>
    <t>ORDER00254</t>
  </si>
  <si>
    <t>ORDER00255</t>
  </si>
  <si>
    <t>ORDER00256</t>
  </si>
  <si>
    <t>ORDER00257</t>
  </si>
  <si>
    <t>CUST0009</t>
  </si>
  <si>
    <t>ORDER00258</t>
  </si>
  <si>
    <t>CUST0040</t>
  </si>
  <si>
    <t>ORDER00259</t>
  </si>
  <si>
    <t>ORDER00260</t>
  </si>
  <si>
    <t>CUST0281</t>
  </si>
  <si>
    <t>ORDER00261</t>
  </si>
  <si>
    <t>CUST0201</t>
  </si>
  <si>
    <t>ORDER00262</t>
  </si>
  <si>
    <t>CUST0246</t>
  </si>
  <si>
    <t>ORDER00263</t>
  </si>
  <si>
    <t>CUST0278</t>
  </si>
  <si>
    <t>ORDER00264</t>
  </si>
  <si>
    <t>CUST0235</t>
  </si>
  <si>
    <t>ORDER00265</t>
  </si>
  <si>
    <t>CUST0004</t>
  </si>
  <si>
    <t>ORDER00266</t>
  </si>
  <si>
    <t>ORDER00267</t>
  </si>
  <si>
    <t>ORDER00268</t>
  </si>
  <si>
    <t>CUST0109</t>
  </si>
  <si>
    <t>ORDER00269</t>
  </si>
  <si>
    <t>CUST0098</t>
  </si>
  <si>
    <t>ORDER00270</t>
  </si>
  <si>
    <t>ORDER00271</t>
  </si>
  <si>
    <t>ORDER00272</t>
  </si>
  <si>
    <t>ORDER00273</t>
  </si>
  <si>
    <t>CUST0146</t>
  </si>
  <si>
    <t>ORDER00274</t>
  </si>
  <si>
    <t>ORDER00275</t>
  </si>
  <si>
    <t>ORDER00276</t>
  </si>
  <si>
    <t>CUST0041</t>
  </si>
  <si>
    <t>ORDER00277</t>
  </si>
  <si>
    <t>CUST0034</t>
  </si>
  <si>
    <t>ORDER00278</t>
  </si>
  <si>
    <t>ORDER00279</t>
  </si>
  <si>
    <t>ORDER00280</t>
  </si>
  <si>
    <t>ORDER00281</t>
  </si>
  <si>
    <t>ORDER00282</t>
  </si>
  <si>
    <t>ORDER00283</t>
  </si>
  <si>
    <t>ORDER00284</t>
  </si>
  <si>
    <t>CUST0027</t>
  </si>
  <si>
    <t>ORDER00285</t>
  </si>
  <si>
    <t>ORDER00286</t>
  </si>
  <si>
    <t>ORDER00287</t>
  </si>
  <si>
    <t>CUST0219</t>
  </si>
  <si>
    <t>ORDER00288</t>
  </si>
  <si>
    <t>ORDER00289</t>
  </si>
  <si>
    <t>ORDER00290</t>
  </si>
  <si>
    <t>CUST0268</t>
  </si>
  <si>
    <t>ORDER00291</t>
  </si>
  <si>
    <t>ORDER00292</t>
  </si>
  <si>
    <t>ORDER00293</t>
  </si>
  <si>
    <t>CUST0190</t>
  </si>
  <si>
    <t>ORDER00294</t>
  </si>
  <si>
    <t>CUST0122</t>
  </si>
  <si>
    <t>ORDER00295</t>
  </si>
  <si>
    <t>CUST0046</t>
  </si>
  <si>
    <t>ORDER00296</t>
  </si>
  <si>
    <t>CUST0064</t>
  </si>
  <si>
    <t>ORDER00297</t>
  </si>
  <si>
    <t>ORDER00298</t>
  </si>
  <si>
    <t>CUST0193</t>
  </si>
  <si>
    <t>ORDER00299</t>
  </si>
  <si>
    <t>CUST0181</t>
  </si>
  <si>
    <t>ORDER00300</t>
  </si>
  <si>
    <t>ORDER00301</t>
  </si>
  <si>
    <t>ORDER00302</t>
  </si>
  <si>
    <t>ORDER00303</t>
  </si>
  <si>
    <t>ORDER00304</t>
  </si>
  <si>
    <t>ORDER00305</t>
  </si>
  <si>
    <t>ORDER00306</t>
  </si>
  <si>
    <t>ORDER00307</t>
  </si>
  <si>
    <t>CUST0164</t>
  </si>
  <si>
    <t>ORDER00308</t>
  </si>
  <si>
    <t>ORDER00309</t>
  </si>
  <si>
    <t>CUST0187</t>
  </si>
  <si>
    <t>ORDER00310</t>
  </si>
  <si>
    <t>ORDER00311</t>
  </si>
  <si>
    <t>CUST0232</t>
  </si>
  <si>
    <t>ORDER00312</t>
  </si>
  <si>
    <t>CUST0227</t>
  </si>
  <si>
    <t>ORDER00313</t>
  </si>
  <si>
    <t>ORDER00314</t>
  </si>
  <si>
    <t>ORDER00315</t>
  </si>
  <si>
    <t>ORDER00316</t>
  </si>
  <si>
    <t>ORDER00317</t>
  </si>
  <si>
    <t>ORDER00318</t>
  </si>
  <si>
    <t>ORDER00319</t>
  </si>
  <si>
    <t>ORDER00320</t>
  </si>
  <si>
    <t>CUST0250</t>
  </si>
  <si>
    <t>ORDER00321</t>
  </si>
  <si>
    <t>ORDER00322</t>
  </si>
  <si>
    <t>ORDER00323</t>
  </si>
  <si>
    <t>ORDER00324</t>
  </si>
  <si>
    <t>ORDER00325</t>
  </si>
  <si>
    <t>ORDER00326</t>
  </si>
  <si>
    <t>ORDER00327</t>
  </si>
  <si>
    <t>ORDER00328</t>
  </si>
  <si>
    <t>CUST0073</t>
  </si>
  <si>
    <t>ORDER00329</t>
  </si>
  <si>
    <t>ORDER00330</t>
  </si>
  <si>
    <t>ORDER00331</t>
  </si>
  <si>
    <t>ORDER00332</t>
  </si>
  <si>
    <t>CUST0129</t>
  </si>
  <si>
    <t>ORDER00333</t>
  </si>
  <si>
    <t>CUST0217</t>
  </si>
  <si>
    <t>ORDER00334</t>
  </si>
  <si>
    <t>CUST0061</t>
  </si>
  <si>
    <t>ORDER00335</t>
  </si>
  <si>
    <t>ORDER00336</t>
  </si>
  <si>
    <t>ORDER00337</t>
  </si>
  <si>
    <t>ORDER00338</t>
  </si>
  <si>
    <t>ORDER00339</t>
  </si>
  <si>
    <t>ORDER00340</t>
  </si>
  <si>
    <t>ORDER00341</t>
  </si>
  <si>
    <t>ORDER00342</t>
  </si>
  <si>
    <t>CUST0108</t>
  </si>
  <si>
    <t>ORDER00343</t>
  </si>
  <si>
    <t>ORDER00344</t>
  </si>
  <si>
    <t>CUST0102</t>
  </si>
  <si>
    <t>ORDER00345</t>
  </si>
  <si>
    <t>CUST0012</t>
  </si>
  <si>
    <t>ORDER00346</t>
  </si>
  <si>
    <t>CUST0275</t>
  </si>
  <si>
    <t>ORDER00347</t>
  </si>
  <si>
    <t>ORDER00348</t>
  </si>
  <si>
    <t>CUST0044</t>
  </si>
  <si>
    <t>ORDER00349</t>
  </si>
  <si>
    <t>ORDER00350</t>
  </si>
  <si>
    <t>CUST0057</t>
  </si>
  <si>
    <t>ORDER00351</t>
  </si>
  <si>
    <t>ORDER00352</t>
  </si>
  <si>
    <t>CUST0080</t>
  </si>
  <si>
    <t>ORDER00353</t>
  </si>
  <si>
    <t>ORDER00354</t>
  </si>
  <si>
    <t>ORDER00355</t>
  </si>
  <si>
    <t>ORDER00356</t>
  </si>
  <si>
    <t>ORDER00357</t>
  </si>
  <si>
    <t>ORDER00358</t>
  </si>
  <si>
    <t>ORDER00359</t>
  </si>
  <si>
    <t>ORDER00360</t>
  </si>
  <si>
    <t>ORDER00361</t>
  </si>
  <si>
    <t>ORDER00362</t>
  </si>
  <si>
    <t>ORDER00363</t>
  </si>
  <si>
    <t>ORDER00364</t>
  </si>
  <si>
    <t>ORDER00365</t>
  </si>
  <si>
    <t>CUST0026</t>
  </si>
  <si>
    <t>ORDER00366</t>
  </si>
  <si>
    <t>ORDER00367</t>
  </si>
  <si>
    <t>ORDER00368</t>
  </si>
  <si>
    <t>ORDER00369</t>
  </si>
  <si>
    <t>CUST0016</t>
  </si>
  <si>
    <t>ORDER00370</t>
  </si>
  <si>
    <t>CUST0199</t>
  </si>
  <si>
    <t>ORDER00371</t>
  </si>
  <si>
    <t>ORDER00372</t>
  </si>
  <si>
    <t>ORDER00373</t>
  </si>
  <si>
    <t>ORDER00374</t>
  </si>
  <si>
    <t>ORDER00375</t>
  </si>
  <si>
    <t>ORDER00376</t>
  </si>
  <si>
    <t>ORDER00377</t>
  </si>
  <si>
    <t>ORDER00378</t>
  </si>
  <si>
    <t>CUST0176</t>
  </si>
  <si>
    <t>ORDER00379</t>
  </si>
  <si>
    <t>ORDER00380</t>
  </si>
  <si>
    <t>ORDER00381</t>
  </si>
  <si>
    <t>ORDER00382</t>
  </si>
  <si>
    <t>CUST0103</t>
  </si>
  <si>
    <t>ORDER00383</t>
  </si>
  <si>
    <t>ORDER00384</t>
  </si>
  <si>
    <t>ORDER00385</t>
  </si>
  <si>
    <t>ORDER00386</t>
  </si>
  <si>
    <t>ORDER00387</t>
  </si>
  <si>
    <t>ORDER00388</t>
  </si>
  <si>
    <t>ORDER00389</t>
  </si>
  <si>
    <t>ORDER00390</t>
  </si>
  <si>
    <t>ORDER00391</t>
  </si>
  <si>
    <t>ORDER00392</t>
  </si>
  <si>
    <t>ORDER00393</t>
  </si>
  <si>
    <t>CUST0183</t>
  </si>
  <si>
    <t>ORDER00394</t>
  </si>
  <si>
    <t>ORDER00395</t>
  </si>
  <si>
    <t>ORDER00396</t>
  </si>
  <si>
    <t>ORDER00397</t>
  </si>
  <si>
    <t>ORDER00398</t>
  </si>
  <si>
    <t>ORDER00399</t>
  </si>
  <si>
    <t>ORDER00400</t>
  </si>
  <si>
    <t>ORDER00401</t>
  </si>
  <si>
    <t>ORDER00402</t>
  </si>
  <si>
    <t>CUST0170</t>
  </si>
  <si>
    <t>ORDER00403</t>
  </si>
  <si>
    <t>ORDER00404</t>
  </si>
  <si>
    <t>ORDER00405</t>
  </si>
  <si>
    <t>ORDER00406</t>
  </si>
  <si>
    <t>CUST0269</t>
  </si>
  <si>
    <t>ORDER00407</t>
  </si>
  <si>
    <t>ORDER00408</t>
  </si>
  <si>
    <t>CUST0274</t>
  </si>
  <si>
    <t>ORDER00409</t>
  </si>
  <si>
    <t>ORDER00410</t>
  </si>
  <si>
    <t>ORDER00411</t>
  </si>
  <si>
    <t>ORDER00412</t>
  </si>
  <si>
    <t>ORDER00413</t>
  </si>
  <si>
    <t>CUST0245</t>
  </si>
  <si>
    <t>ORDER00414</t>
  </si>
  <si>
    <t>ORDER00415</t>
  </si>
  <si>
    <t>CUST0185</t>
  </si>
  <si>
    <t>ORDER00416</t>
  </si>
  <si>
    <t>CUST0272</t>
  </si>
  <si>
    <t>ORDER00417</t>
  </si>
  <si>
    <t>ORDER00418</t>
  </si>
  <si>
    <t>ORDER00419</t>
  </si>
  <si>
    <t>ORDER00420</t>
  </si>
  <si>
    <t>CUST0065</t>
  </si>
  <si>
    <t>ORDER00421</t>
  </si>
  <si>
    <t>ORDER00422</t>
  </si>
  <si>
    <t>CUST0003</t>
  </si>
  <si>
    <t>ORDER00423</t>
  </si>
  <si>
    <t>CUST0142</t>
  </si>
  <si>
    <t>ORDER00424</t>
  </si>
  <si>
    <t>ORDER00425</t>
  </si>
  <si>
    <t>ORDER00426</t>
  </si>
  <si>
    <t>ORDER00427</t>
  </si>
  <si>
    <t>ORDER00428</t>
  </si>
  <si>
    <t>ORDER00429</t>
  </si>
  <si>
    <t>ORDER00430</t>
  </si>
  <si>
    <t>CUST0140</t>
  </si>
  <si>
    <t>ORDER00431</t>
  </si>
  <si>
    <t>ORDER00432</t>
  </si>
  <si>
    <t>ORDER00433</t>
  </si>
  <si>
    <t>ORDER00434</t>
  </si>
  <si>
    <t>ORDER00435</t>
  </si>
  <si>
    <t>ORDER00436</t>
  </si>
  <si>
    <t>ORDER00437</t>
  </si>
  <si>
    <t>ORDER00438</t>
  </si>
  <si>
    <t>ORDER00439</t>
  </si>
  <si>
    <t>ORDER00440</t>
  </si>
  <si>
    <t>ORDER00441</t>
  </si>
  <si>
    <t>CUST0052</t>
  </si>
  <si>
    <t>ORDER00442</t>
  </si>
  <si>
    <t>CUST0260</t>
  </si>
  <si>
    <t>ORDER00443</t>
  </si>
  <si>
    <t>ORDER00444</t>
  </si>
  <si>
    <t>CUST0072</t>
  </si>
  <si>
    <t>ORDER00445</t>
  </si>
  <si>
    <t>ORDER00446</t>
  </si>
  <si>
    <t>ORDER00447</t>
  </si>
  <si>
    <t>ORDER00448</t>
  </si>
  <si>
    <t>CUST0107</t>
  </si>
  <si>
    <t>ORDER00449</t>
  </si>
  <si>
    <t>ORDER00450</t>
  </si>
  <si>
    <t>ORDER00451</t>
  </si>
  <si>
    <t>CUST0241</t>
  </si>
  <si>
    <t>ORDER00452</t>
  </si>
  <si>
    <t>ORDER00453</t>
  </si>
  <si>
    <t>CUST0262</t>
  </si>
  <si>
    <t>ORDER00454</t>
  </si>
  <si>
    <t>ORDER00455</t>
  </si>
  <si>
    <t>ORDER00456</t>
  </si>
  <si>
    <t>ORDER00457</t>
  </si>
  <si>
    <t>ORDER00458</t>
  </si>
  <si>
    <t>ORDER00459</t>
  </si>
  <si>
    <t>ORDER00460</t>
  </si>
  <si>
    <t>ORDER00461</t>
  </si>
  <si>
    <t>CUST0099</t>
  </si>
  <si>
    <t>ORDER00462</t>
  </si>
  <si>
    <t>ORDER00463</t>
  </si>
  <si>
    <t>ORDER00464</t>
  </si>
  <si>
    <t>ORDER00465</t>
  </si>
  <si>
    <t>ORDER00466</t>
  </si>
  <si>
    <t>ORDER00467</t>
  </si>
  <si>
    <t>ORDER00468</t>
  </si>
  <si>
    <t>ORDER00469</t>
  </si>
  <si>
    <t>ORDER00470</t>
  </si>
  <si>
    <t>CUST0160</t>
  </si>
  <si>
    <t>ORDER00471</t>
  </si>
  <si>
    <t>ORDER00472</t>
  </si>
  <si>
    <t>ORDER00473</t>
  </si>
  <si>
    <t>ORDER00474</t>
  </si>
  <si>
    <t>ORDER00475</t>
  </si>
  <si>
    <t>CUST0068</t>
  </si>
  <si>
    <t>ORDER00476</t>
  </si>
  <si>
    <t>ORDER00477</t>
  </si>
  <si>
    <t>ORDER00478</t>
  </si>
  <si>
    <t>CUST0105</t>
  </si>
  <si>
    <t>ORDER00479</t>
  </si>
  <si>
    <t>ORDER00480</t>
  </si>
  <si>
    <t>ORDER00481</t>
  </si>
  <si>
    <t>ORDER00482</t>
  </si>
  <si>
    <t>ORDER00483</t>
  </si>
  <si>
    <t>ORDER00484</t>
  </si>
  <si>
    <t>ORDER00485</t>
  </si>
  <si>
    <t>ORDER00486</t>
  </si>
  <si>
    <t>ORDER00487</t>
  </si>
  <si>
    <t>ORDER00488</t>
  </si>
  <si>
    <t>ORDER00489</t>
  </si>
  <si>
    <t>ORDER00490</t>
  </si>
  <si>
    <t>CUST0124</t>
  </si>
  <si>
    <t>ORDER00491</t>
  </si>
  <si>
    <t>ORDER00492</t>
  </si>
  <si>
    <t>ORDER00493</t>
  </si>
  <si>
    <t>ORDER00494</t>
  </si>
  <si>
    <t>ORDER00495</t>
  </si>
  <si>
    <t>CUST0037</t>
  </si>
  <si>
    <t>ORDER00496</t>
  </si>
  <si>
    <t>ORDER00497</t>
  </si>
  <si>
    <t>CUST0284</t>
  </si>
  <si>
    <t>ORDER00498</t>
  </si>
  <si>
    <t>ORDER00499</t>
  </si>
  <si>
    <t>ORDER00500</t>
  </si>
  <si>
    <t>ORDER00501</t>
  </si>
  <si>
    <t>ORDER00502</t>
  </si>
  <si>
    <t>ORDER00503</t>
  </si>
  <si>
    <t>CUST0186</t>
  </si>
  <si>
    <t>ORDER00504</t>
  </si>
  <si>
    <t>CUST0056</t>
  </si>
  <si>
    <t>ORDER00505</t>
  </si>
  <si>
    <t>ORDER00506</t>
  </si>
  <si>
    <t>ORDER00507</t>
  </si>
  <si>
    <t>ORDER00508</t>
  </si>
  <si>
    <t>ORDER00509</t>
  </si>
  <si>
    <t>ORDER00510</t>
  </si>
  <si>
    <t>ORDER00511</t>
  </si>
  <si>
    <t>ORDER00512</t>
  </si>
  <si>
    <t>ORDER00513</t>
  </si>
  <si>
    <t>ORDER00514</t>
  </si>
  <si>
    <t>ORDER00515</t>
  </si>
  <si>
    <t>ORDER00516</t>
  </si>
  <si>
    <t>CUST0169</t>
  </si>
  <si>
    <t>ORDER00517</t>
  </si>
  <si>
    <t>ORDER00518</t>
  </si>
  <si>
    <t>CUST0045</t>
  </si>
  <si>
    <t>ORDER00519</t>
  </si>
  <si>
    <t>ORDER00520</t>
  </si>
  <si>
    <t>ORDER00521</t>
  </si>
  <si>
    <t>CUST0191</t>
  </si>
  <si>
    <t>ORDER00522</t>
  </si>
  <si>
    <t>CUST0155</t>
  </si>
  <si>
    <t>ORDER00523</t>
  </si>
  <si>
    <t>ORDER00524</t>
  </si>
  <si>
    <t>ORDER00525</t>
  </si>
  <si>
    <t>ORDER00526</t>
  </si>
  <si>
    <t>ORDER00527</t>
  </si>
  <si>
    <t>ORDER00528</t>
  </si>
  <si>
    <t>ORDER00529</t>
  </si>
  <si>
    <t>CUST0031</t>
  </si>
  <si>
    <t>ORDER00530</t>
  </si>
  <si>
    <t>ORDER00531</t>
  </si>
  <si>
    <t>ORDER00532</t>
  </si>
  <si>
    <t>ORDER00533</t>
  </si>
  <si>
    <t>ORDER00534</t>
  </si>
  <si>
    <t>ORDER00535</t>
  </si>
  <si>
    <t>CUST0258</t>
  </si>
  <si>
    <t>ORDER00536</t>
  </si>
  <si>
    <t>CUST0206</t>
  </si>
  <si>
    <t>ORDER00537</t>
  </si>
  <si>
    <t>CUST0077</t>
  </si>
  <si>
    <t>ORDER00538</t>
  </si>
  <si>
    <t>ORDER00539</t>
  </si>
  <si>
    <t>ORDER00540</t>
  </si>
  <si>
    <t>ORDER00541</t>
  </si>
  <si>
    <t>ORDER00542</t>
  </si>
  <si>
    <t>ORDER00543</t>
  </si>
  <si>
    <t>ORDER00544</t>
  </si>
  <si>
    <t>ORDER00545</t>
  </si>
  <si>
    <t>CUST0233</t>
  </si>
  <si>
    <t>ORDER00546</t>
  </si>
  <si>
    <t>ORDER00547</t>
  </si>
  <si>
    <t>ORDER00548</t>
  </si>
  <si>
    <t>ORDER00549</t>
  </si>
  <si>
    <t>CUST0163</t>
  </si>
  <si>
    <t>ORDER00550</t>
  </si>
  <si>
    <t>CUST0074</t>
  </si>
  <si>
    <t>ORDER00551</t>
  </si>
  <si>
    <t>ORDER00552</t>
  </si>
  <si>
    <t>ORDER00553</t>
  </si>
  <si>
    <t>ORDER00554</t>
  </si>
  <si>
    <t>ORDER00555</t>
  </si>
  <si>
    <t>ORDER00556</t>
  </si>
  <si>
    <t>ORDER00557</t>
  </si>
  <si>
    <t>ORDER00558</t>
  </si>
  <si>
    <t>CUST0242</t>
  </si>
  <si>
    <t>ORDER00559</t>
  </si>
  <si>
    <t>ORDER00560</t>
  </si>
  <si>
    <t>CUST0192</t>
  </si>
  <si>
    <t>ORDER00561</t>
  </si>
  <si>
    <t>ORDER00562</t>
  </si>
  <si>
    <t>ORDER00563</t>
  </si>
  <si>
    <t>ORDER00564</t>
  </si>
  <si>
    <t>CUST0022</t>
  </si>
  <si>
    <t>ORDER00565</t>
  </si>
  <si>
    <t>ORDER00566</t>
  </si>
  <si>
    <t>ORDER00567</t>
  </si>
  <si>
    <t>ORDER00568</t>
  </si>
  <si>
    <t>ORDER00569</t>
  </si>
  <si>
    <t>ORDER00570</t>
  </si>
  <si>
    <t>ORDER00571</t>
  </si>
  <si>
    <t>CUST0204</t>
  </si>
  <si>
    <t>ORDER00572</t>
  </si>
  <si>
    <t>ORDER00573</t>
  </si>
  <si>
    <t>ORDER00574</t>
  </si>
  <si>
    <t>ORDER00575</t>
  </si>
  <si>
    <t>ORDER00576</t>
  </si>
  <si>
    <t>ORDER00577</t>
  </si>
  <si>
    <t>CUST0033</t>
  </si>
  <si>
    <t>ORDER00578</t>
  </si>
  <si>
    <t>ORDER00579</t>
  </si>
  <si>
    <t>CUST0079</t>
  </si>
  <si>
    <t>ORDER00580</t>
  </si>
  <si>
    <t>CUST0058</t>
  </si>
  <si>
    <t>ORDER00581</t>
  </si>
  <si>
    <t>ORDER00582</t>
  </si>
  <si>
    <t>ORDER00583</t>
  </si>
  <si>
    <t>ORDER00584</t>
  </si>
  <si>
    <t>ORDER00585</t>
  </si>
  <si>
    <t>ORDER00586</t>
  </si>
  <si>
    <t>ORDER00587</t>
  </si>
  <si>
    <t>CUST0271</t>
  </si>
  <si>
    <t>ORDER00588</t>
  </si>
  <si>
    <t>ORDER00589</t>
  </si>
  <si>
    <t>ORDER00590</t>
  </si>
  <si>
    <t>ORDER00591</t>
  </si>
  <si>
    <t>ORDER00592</t>
  </si>
  <si>
    <t>ORDER00593</t>
  </si>
  <si>
    <t>ORDER00594</t>
  </si>
  <si>
    <t>ORDER00595</t>
  </si>
  <si>
    <t>ORDER00596</t>
  </si>
  <si>
    <t>ORDER00597</t>
  </si>
  <si>
    <t>ORDER00598</t>
  </si>
  <si>
    <t>ORDER00599</t>
  </si>
  <si>
    <t>ORDER00600</t>
  </si>
  <si>
    <t>CUST0021</t>
  </si>
  <si>
    <t>ORDER00601</t>
  </si>
  <si>
    <t>ORDER00602</t>
  </si>
  <si>
    <t>ORDER00603</t>
  </si>
  <si>
    <t>ORDER00604</t>
  </si>
  <si>
    <t>ORDER00605</t>
  </si>
  <si>
    <t>ORDER00606</t>
  </si>
  <si>
    <t>ORDER00607</t>
  </si>
  <si>
    <t>ORDER00608</t>
  </si>
  <si>
    <t>ORDER00609</t>
  </si>
  <si>
    <t>ORDER00610</t>
  </si>
  <si>
    <t>ORDER00611</t>
  </si>
  <si>
    <t>ORDER00612</t>
  </si>
  <si>
    <t>ORDER00613</t>
  </si>
  <si>
    <t>ORDER00614</t>
  </si>
  <si>
    <t>CUST0208</t>
  </si>
  <si>
    <t>ORDER00615</t>
  </si>
  <si>
    <t>ORDER00616</t>
  </si>
  <si>
    <t>ORDER00617</t>
  </si>
  <si>
    <t>ORDER00618</t>
  </si>
  <si>
    <t>ORDER00619</t>
  </si>
  <si>
    <t>CUST0093</t>
  </si>
  <si>
    <t>ORDER00620</t>
  </si>
  <si>
    <t>ORDER00621</t>
  </si>
  <si>
    <t>ORDER00622</t>
  </si>
  <si>
    <t>ORDER00623</t>
  </si>
  <si>
    <t>CUST0174</t>
  </si>
  <si>
    <t>ORDER00624</t>
  </si>
  <si>
    <t>CUST0050</t>
  </si>
  <si>
    <t>ORDER00625</t>
  </si>
  <si>
    <t>ORDER00626</t>
  </si>
  <si>
    <t>ORDER00627</t>
  </si>
  <si>
    <t>CUST0024</t>
  </si>
  <si>
    <t>ORDER00628</t>
  </si>
  <si>
    <t>ORDER00629</t>
  </si>
  <si>
    <t>ORDER00630</t>
  </si>
  <si>
    <t>ORDER00631</t>
  </si>
  <si>
    <t>ORDER00632</t>
  </si>
  <si>
    <t>ORDER00633</t>
  </si>
  <si>
    <t>ORDER00634</t>
  </si>
  <si>
    <t>ORDER00635</t>
  </si>
  <si>
    <t>ORDER00636</t>
  </si>
  <si>
    <t>ORDER00637</t>
  </si>
  <si>
    <t>ORDER00638</t>
  </si>
  <si>
    <t>ORDER00639</t>
  </si>
  <si>
    <t>ORDER00640</t>
  </si>
  <si>
    <t>ORDER00641</t>
  </si>
  <si>
    <t>ORDER00642</t>
  </si>
  <si>
    <t>CUST0205</t>
  </si>
  <si>
    <t>ORDER00643</t>
  </si>
  <si>
    <t>ORDER00644</t>
  </si>
  <si>
    <t>ORDER00645</t>
  </si>
  <si>
    <t>CUST0277</t>
  </si>
  <si>
    <t>ORDER00646</t>
  </si>
  <si>
    <t>ORDER00647</t>
  </si>
  <si>
    <t>ORDER00648</t>
  </si>
  <si>
    <t>ORDER00649</t>
  </si>
  <si>
    <t>ORDER00650</t>
  </si>
  <si>
    <t>ORDER00651</t>
  </si>
  <si>
    <t>ORDER00652</t>
  </si>
  <si>
    <t>ORDER00653</t>
  </si>
  <si>
    <t>ORDER00654</t>
  </si>
  <si>
    <t>ORDER00655</t>
  </si>
  <si>
    <t>ORDER00656</t>
  </si>
  <si>
    <t>ORDER00657</t>
  </si>
  <si>
    <t>ORDER00658</t>
  </si>
  <si>
    <t>ORDER00659</t>
  </si>
  <si>
    <t>ORDER00660</t>
  </si>
  <si>
    <t>ORDER00661</t>
  </si>
  <si>
    <t>ORDER00662</t>
  </si>
  <si>
    <t>ORDER00663</t>
  </si>
  <si>
    <t>ORDER00664</t>
  </si>
  <si>
    <t>ORDER00665</t>
  </si>
  <si>
    <t>ORDER00666</t>
  </si>
  <si>
    <t>ORDER00667</t>
  </si>
  <si>
    <t>ORDER00668</t>
  </si>
  <si>
    <t>ORDER00669</t>
  </si>
  <si>
    <t>ORDER00670</t>
  </si>
  <si>
    <t>ORDER00671</t>
  </si>
  <si>
    <t>ORDER00672</t>
  </si>
  <si>
    <t>ORDER00673</t>
  </si>
  <si>
    <t>ORDER00674</t>
  </si>
  <si>
    <t>CUST0116</t>
  </si>
  <si>
    <t>ORDER00675</t>
  </si>
  <si>
    <t>ORDER00676</t>
  </si>
  <si>
    <t>ORDER00677</t>
  </si>
  <si>
    <t>ORDER00678</t>
  </si>
  <si>
    <t>ORDER00679</t>
  </si>
  <si>
    <t>ORDER00680</t>
  </si>
  <si>
    <t>ORDER00681</t>
  </si>
  <si>
    <t>ORDER00682</t>
  </si>
  <si>
    <t>ORDER00683</t>
  </si>
  <si>
    <t>ORDER00684</t>
  </si>
  <si>
    <t>ORDER00685</t>
  </si>
  <si>
    <t>ORDER00686</t>
  </si>
  <si>
    <t>ORDER00687</t>
  </si>
  <si>
    <t>ORDER00688</t>
  </si>
  <si>
    <t>ORDER00689</t>
  </si>
  <si>
    <t>ORDER00690</t>
  </si>
  <si>
    <t>ORDER00691</t>
  </si>
  <si>
    <t>ORDER00692</t>
  </si>
  <si>
    <t>ORDER00693</t>
  </si>
  <si>
    <t>ORDER00694</t>
  </si>
  <si>
    <t>ORDER00695</t>
  </si>
  <si>
    <t>ORDER00696</t>
  </si>
  <si>
    <t>ORDER00697</t>
  </si>
  <si>
    <t>ORDER00698</t>
  </si>
  <si>
    <t>ORDER00699</t>
  </si>
  <si>
    <t>ORDER00700</t>
  </si>
  <si>
    <t>ORDER00701</t>
  </si>
  <si>
    <t>ORDER00702</t>
  </si>
  <si>
    <t>ORDER00703</t>
  </si>
  <si>
    <t>ORDER00704</t>
  </si>
  <si>
    <t>ORDER00705</t>
  </si>
  <si>
    <t>ORDER00706</t>
  </si>
  <si>
    <t>ORDER00707</t>
  </si>
  <si>
    <t>ORDER00708</t>
  </si>
  <si>
    <t>ORDER00709</t>
  </si>
  <si>
    <t>ORDER00710</t>
  </si>
  <si>
    <t>ORDER00711</t>
  </si>
  <si>
    <t>ORDER00712</t>
  </si>
  <si>
    <t>ORDER00713</t>
  </si>
  <si>
    <t>CUST0238</t>
  </si>
  <si>
    <t>ORDER00714</t>
  </si>
  <si>
    <t>ORDER00715</t>
  </si>
  <si>
    <t>CUST0221</t>
  </si>
  <si>
    <t>ORDER00716</t>
  </si>
  <si>
    <t>ORDER00717</t>
  </si>
  <si>
    <t>ORDER00718</t>
  </si>
  <si>
    <t>ORDER00719</t>
  </si>
  <si>
    <t>CUST0300</t>
  </si>
  <si>
    <t>ORDER00720</t>
  </si>
  <si>
    <t>ORDER00721</t>
  </si>
  <si>
    <t>ORDER00722</t>
  </si>
  <si>
    <t>ORDER00723</t>
  </si>
  <si>
    <t>ORDER00724</t>
  </si>
  <si>
    <t>ORDER00725</t>
  </si>
  <si>
    <t>ORDER00726</t>
  </si>
  <si>
    <t>ORDER00727</t>
  </si>
  <si>
    <t>ORDER00728</t>
  </si>
  <si>
    <t>ORDER00729</t>
  </si>
  <si>
    <t>ORDER00730</t>
  </si>
  <si>
    <t>CUST0207</t>
  </si>
  <si>
    <t>ORDER00731</t>
  </si>
  <si>
    <t>ORDER00732</t>
  </si>
  <si>
    <t>ORDER00733</t>
  </si>
  <si>
    <t>ORDER00734</t>
  </si>
  <si>
    <t>ORDER00735</t>
  </si>
  <si>
    <t>ORDER00736</t>
  </si>
  <si>
    <t>CUST0220</t>
  </si>
  <si>
    <t>ORDER00737</t>
  </si>
  <si>
    <t>ORDER00738</t>
  </si>
  <si>
    <t>ORDER00739</t>
  </si>
  <si>
    <t>ORDER00740</t>
  </si>
  <si>
    <t>ORDER00741</t>
  </si>
  <si>
    <t>ORDER00742</t>
  </si>
  <si>
    <t>ORDER00743</t>
  </si>
  <si>
    <t>ORDER00744</t>
  </si>
  <si>
    <t>ORDER00745</t>
  </si>
  <si>
    <t>ORDER00746</t>
  </si>
  <si>
    <t>CUST0066</t>
  </si>
  <si>
    <t>ORDER00747</t>
  </si>
  <si>
    <t>ORDER00748</t>
  </si>
  <si>
    <t>ORDER00749</t>
  </si>
  <si>
    <t>ORDER00750</t>
  </si>
  <si>
    <t>ORDER00751</t>
  </si>
  <si>
    <t>ORDER00752</t>
  </si>
  <si>
    <t>ORDER00753</t>
  </si>
  <si>
    <t>ORDER00754</t>
  </si>
  <si>
    <t>ORDER00755</t>
  </si>
  <si>
    <t>ORDER00756</t>
  </si>
  <si>
    <t>ORDER00757</t>
  </si>
  <si>
    <t>ORDER00758</t>
  </si>
  <si>
    <t>ORDER00759</t>
  </si>
  <si>
    <t>ORDER00760</t>
  </si>
  <si>
    <t>ORDER00761</t>
  </si>
  <si>
    <t>ORDER00762</t>
  </si>
  <si>
    <t>CUST0100</t>
  </si>
  <si>
    <t>ORDER00763</t>
  </si>
  <si>
    <t>CUST0240</t>
  </si>
  <si>
    <t>ORDER00764</t>
  </si>
  <si>
    <t>ORDER00765</t>
  </si>
  <si>
    <t>CUST0298</t>
  </si>
  <si>
    <t>ORDER00766</t>
  </si>
  <si>
    <t>ORDER00767</t>
  </si>
  <si>
    <t>ORDER00768</t>
  </si>
  <si>
    <t>ORDER00769</t>
  </si>
  <si>
    <t>ORDER00770</t>
  </si>
  <si>
    <t>ORDER00771</t>
  </si>
  <si>
    <t>ORDER00772</t>
  </si>
  <si>
    <t>ORDER00773</t>
  </si>
  <si>
    <t>ORDER00774</t>
  </si>
  <si>
    <t>ORDER00775</t>
  </si>
  <si>
    <t>ORDER00776</t>
  </si>
  <si>
    <t>ORDER00777</t>
  </si>
  <si>
    <t>CUST0028</t>
  </si>
  <si>
    <t>ORDER00778</t>
  </si>
  <si>
    <t>ORDER00779</t>
  </si>
  <si>
    <t>ORDER00780</t>
  </si>
  <si>
    <t>ORDER00781</t>
  </si>
  <si>
    <t>ORDER00782</t>
  </si>
  <si>
    <t>ORDER00783</t>
  </si>
  <si>
    <t>ORDER00784</t>
  </si>
  <si>
    <t>ORDER00785</t>
  </si>
  <si>
    <t>ORDER00786</t>
  </si>
  <si>
    <t>ORDER00787</t>
  </si>
  <si>
    <t>ORDER00788</t>
  </si>
  <si>
    <t>ORDER00789</t>
  </si>
  <si>
    <t>ORDER00790</t>
  </si>
  <si>
    <t>ORDER00791</t>
  </si>
  <si>
    <t>ORDER00792</t>
  </si>
  <si>
    <t>ORDER00793</t>
  </si>
  <si>
    <t>CUST0276</t>
  </si>
  <si>
    <t>ORDER00794</t>
  </si>
  <si>
    <t>ORDER00795</t>
  </si>
  <si>
    <t>ORDER00796</t>
  </si>
  <si>
    <t>ORDER00797</t>
  </si>
  <si>
    <t>ORDER00798</t>
  </si>
  <si>
    <t>ORDER00799</t>
  </si>
  <si>
    <t>CUST0121</t>
  </si>
  <si>
    <t>ORDER00800</t>
  </si>
  <si>
    <t>ORDER00801</t>
  </si>
  <si>
    <t>ORDER00802</t>
  </si>
  <si>
    <t>ORDER00803</t>
  </si>
  <si>
    <t>ORDER00804</t>
  </si>
  <si>
    <t>ORDER00805</t>
  </si>
  <si>
    <t>ORDER00806</t>
  </si>
  <si>
    <t>ORDER00807</t>
  </si>
  <si>
    <t>ORDER00808</t>
  </si>
  <si>
    <t>ORDER00809</t>
  </si>
  <si>
    <t>ORDER00810</t>
  </si>
  <si>
    <t>ORDER00811</t>
  </si>
  <si>
    <t>ORDER00812</t>
  </si>
  <si>
    <t>ORDER00813</t>
  </si>
  <si>
    <t>ORDER00814</t>
  </si>
  <si>
    <t>ORDER00815</t>
  </si>
  <si>
    <t>ORDER00816</t>
  </si>
  <si>
    <t>ORDER00817</t>
  </si>
  <si>
    <t>ORDER00818</t>
  </si>
  <si>
    <t>ORDER00819</t>
  </si>
  <si>
    <t>ORDER00820</t>
  </si>
  <si>
    <t>ORDER00821</t>
  </si>
  <si>
    <t>ORDER00822</t>
  </si>
  <si>
    <t>ORDER00823</t>
  </si>
  <si>
    <t>ORDER00824</t>
  </si>
  <si>
    <t>ORDER00825</t>
  </si>
  <si>
    <t>ORDER00826</t>
  </si>
  <si>
    <t>ORDER00827</t>
  </si>
  <si>
    <t>ORDER00828</t>
  </si>
  <si>
    <t>ORDER00829</t>
  </si>
  <si>
    <t>ORDER00830</t>
  </si>
  <si>
    <t>ORDER00831</t>
  </si>
  <si>
    <t>CUST0126</t>
  </si>
  <si>
    <t>ORDER00832</t>
  </si>
  <si>
    <t>ORDER00833</t>
  </si>
  <si>
    <t>ORDER00834</t>
  </si>
  <si>
    <t>ORDER00835</t>
  </si>
  <si>
    <t>ORDER00836</t>
  </si>
  <si>
    <t>ORDER00837</t>
  </si>
  <si>
    <t>ORDER00838</t>
  </si>
  <si>
    <t>ORDER00839</t>
  </si>
  <si>
    <t>ORDER00840</t>
  </si>
  <si>
    <t>ORDER00841</t>
  </si>
  <si>
    <t>ORDER00842</t>
  </si>
  <si>
    <t>ORDER00843</t>
  </si>
  <si>
    <t>ORDER00844</t>
  </si>
  <si>
    <t>ORDER00845</t>
  </si>
  <si>
    <t>ORDER00846</t>
  </si>
  <si>
    <t>ORDER00847</t>
  </si>
  <si>
    <t>ORDER00848</t>
  </si>
  <si>
    <t>ORDER00849</t>
  </si>
  <si>
    <t>ORDER00850</t>
  </si>
  <si>
    <t>CUST0290</t>
  </si>
  <si>
    <t>ORDER00851</t>
  </si>
  <si>
    <t>ORDER00852</t>
  </si>
  <si>
    <t>ORDER00853</t>
  </si>
  <si>
    <t>ORDER00854</t>
  </si>
  <si>
    <t>ORDER00855</t>
  </si>
  <si>
    <t>ORDER00856</t>
  </si>
  <si>
    <t>ORDER00857</t>
  </si>
  <si>
    <t>ORDER00858</t>
  </si>
  <si>
    <t>ORDER00859</t>
  </si>
  <si>
    <t>ORDER00860</t>
  </si>
  <si>
    <t>ORDER00861</t>
  </si>
  <si>
    <t>ORDER00862</t>
  </si>
  <si>
    <t>ORDER00863</t>
  </si>
  <si>
    <t>ORDER00864</t>
  </si>
  <si>
    <t>ORDER00865</t>
  </si>
  <si>
    <t>ORDER00866</t>
  </si>
  <si>
    <t>ORDER00867</t>
  </si>
  <si>
    <t>ORDER00868</t>
  </si>
  <si>
    <t>ORDER00869</t>
  </si>
  <si>
    <t>ORDER00870</t>
  </si>
  <si>
    <t>ORDER00871</t>
  </si>
  <si>
    <t>ORDER00872</t>
  </si>
  <si>
    <t>ORDER00873</t>
  </si>
  <si>
    <t>ORDER00874</t>
  </si>
  <si>
    <t>ORDER00875</t>
  </si>
  <si>
    <t>ORDER00876</t>
  </si>
  <si>
    <t>ORDER00877</t>
  </si>
  <si>
    <t>ORDER00878</t>
  </si>
  <si>
    <t>ORDER00879</t>
  </si>
  <si>
    <t>ORDER00880</t>
  </si>
  <si>
    <t>ORDER00881</t>
  </si>
  <si>
    <t>ORDER00882</t>
  </si>
  <si>
    <t>ORDER00883</t>
  </si>
  <si>
    <t>ORDER00884</t>
  </si>
  <si>
    <t>ORDER00885</t>
  </si>
  <si>
    <t>ORDER00886</t>
  </si>
  <si>
    <t>ORDER00887</t>
  </si>
  <si>
    <t>CUST0279</t>
  </si>
  <si>
    <t>ORDER00888</t>
  </si>
  <si>
    <t>ORDER00889</t>
  </si>
  <si>
    <t>ORDER00890</t>
  </si>
  <si>
    <t>ORDER00891</t>
  </si>
  <si>
    <t>ORDER00892</t>
  </si>
  <si>
    <t>ORDER00893</t>
  </si>
  <si>
    <t>ORDER00894</t>
  </si>
  <si>
    <t>ORDER00895</t>
  </si>
  <si>
    <t>ORDER00896</t>
  </si>
  <si>
    <t>ORDER00897</t>
  </si>
  <si>
    <t>ORDER00898</t>
  </si>
  <si>
    <t>ORDER00899</t>
  </si>
  <si>
    <t>ORDER00900</t>
  </si>
  <si>
    <t>ORDER00901</t>
  </si>
  <si>
    <t>ORDER00902</t>
  </si>
  <si>
    <t>ORDER00903</t>
  </si>
  <si>
    <t>ORDER00904</t>
  </si>
  <si>
    <t>ORDER00905</t>
  </si>
  <si>
    <t>ORDER00906</t>
  </si>
  <si>
    <t>ORDER00907</t>
  </si>
  <si>
    <t>ORDER00908</t>
  </si>
  <si>
    <t>ORDER00909</t>
  </si>
  <si>
    <t>ORDER00910</t>
  </si>
  <si>
    <t>ORDER00911</t>
  </si>
  <si>
    <t>ORDER00912</t>
  </si>
  <si>
    <t>ORDER00913</t>
  </si>
  <si>
    <t>ORDER00914</t>
  </si>
  <si>
    <t>ORDER00915</t>
  </si>
  <si>
    <t>ORDER00916</t>
  </si>
  <si>
    <t>CUST0043</t>
  </si>
  <si>
    <t>ORDER00917</t>
  </si>
  <si>
    <t>ORDER00918</t>
  </si>
  <si>
    <t>ORDER00919</t>
  </si>
  <si>
    <t>ORDER00920</t>
  </si>
  <si>
    <t>ORDER00921</t>
  </si>
  <si>
    <t>ORDER00922</t>
  </si>
  <si>
    <t>ORDER00923</t>
  </si>
  <si>
    <t>CUST0203</t>
  </si>
  <si>
    <t>ORDER00924</t>
  </si>
  <si>
    <t>ORDER00925</t>
  </si>
  <si>
    <t>ORDER00926</t>
  </si>
  <si>
    <t>ORDER00927</t>
  </si>
  <si>
    <t>ORDER00928</t>
  </si>
  <si>
    <t>ORDER00929</t>
  </si>
  <si>
    <t>ORDER00930</t>
  </si>
  <si>
    <t>ORDER00931</t>
  </si>
  <si>
    <t>ORDER00932</t>
  </si>
  <si>
    <t>ORDER00933</t>
  </si>
  <si>
    <t>ORDER00934</t>
  </si>
  <si>
    <t>ORDER00935</t>
  </si>
  <si>
    <t>ORDER00936</t>
  </si>
  <si>
    <t>ORDER00937</t>
  </si>
  <si>
    <t>ORDER00938</t>
  </si>
  <si>
    <t>ORDER00939</t>
  </si>
  <si>
    <t>ORDER00940</t>
  </si>
  <si>
    <t>ORDER00941</t>
  </si>
  <si>
    <t>ORDER00942</t>
  </si>
  <si>
    <t>ORDER00943</t>
  </si>
  <si>
    <t>ORDER00944</t>
  </si>
  <si>
    <t>ORDER00945</t>
  </si>
  <si>
    <t>ORDER00946</t>
  </si>
  <si>
    <t>ORDER00947</t>
  </si>
  <si>
    <t>ORDER00948</t>
  </si>
  <si>
    <t>ORDER00949</t>
  </si>
  <si>
    <t>ORDER00950</t>
  </si>
  <si>
    <t>CUST0071</t>
  </si>
  <si>
    <t>ORDER00951</t>
  </si>
  <si>
    <t>ORDER00952</t>
  </si>
  <si>
    <t>ORDER00953</t>
  </si>
  <si>
    <t>ORDER00954</t>
  </si>
  <si>
    <t>ORDER00955</t>
  </si>
  <si>
    <t>ORDER00956</t>
  </si>
  <si>
    <t>ORDER00957</t>
  </si>
  <si>
    <t>ORDER00958</t>
  </si>
  <si>
    <t>ORDER00959</t>
  </si>
  <si>
    <t>ORDER00960</t>
  </si>
  <si>
    <t>ORDER00961</t>
  </si>
  <si>
    <t>ORDER00962</t>
  </si>
  <si>
    <t>ORDER00963</t>
  </si>
  <si>
    <t>ORDER00964</t>
  </si>
  <si>
    <t>ORDER00965</t>
  </si>
  <si>
    <t>ORDER00966</t>
  </si>
  <si>
    <t>ORDER00967</t>
  </si>
  <si>
    <t>ORDER00968</t>
  </si>
  <si>
    <t>ORDER00969</t>
  </si>
  <si>
    <t>ORDER00970</t>
  </si>
  <si>
    <t>ORDER00971</t>
  </si>
  <si>
    <t>ORDER00972</t>
  </si>
  <si>
    <t>ORDER00973</t>
  </si>
  <si>
    <t>ORDER00974</t>
  </si>
  <si>
    <t>ORDER00975</t>
  </si>
  <si>
    <t>ORDER00976</t>
  </si>
  <si>
    <t>ORDER00977</t>
  </si>
  <si>
    <t>ORDER00978</t>
  </si>
  <si>
    <t>ORDER00979</t>
  </si>
  <si>
    <t>ORDER00980</t>
  </si>
  <si>
    <t>ORDER00981</t>
  </si>
  <si>
    <t>ORDER00982</t>
  </si>
  <si>
    <t>ORDER00983</t>
  </si>
  <si>
    <t>CUST0167</t>
  </si>
  <si>
    <t>ORDER00984</t>
  </si>
  <si>
    <t>ORDER00985</t>
  </si>
  <si>
    <t>ORDER00986</t>
  </si>
  <si>
    <t>ORDER00987</t>
  </si>
  <si>
    <t>ORDER00988</t>
  </si>
  <si>
    <t>ORDER00989</t>
  </si>
  <si>
    <t>ORDER00990</t>
  </si>
  <si>
    <t>ORDER00991</t>
  </si>
  <si>
    <t>ORDER00992</t>
  </si>
  <si>
    <t>ORDER00993</t>
  </si>
  <si>
    <t>ORDER00994</t>
  </si>
  <si>
    <t>ORDER00995</t>
  </si>
  <si>
    <t>ORDER00996</t>
  </si>
  <si>
    <t>ORDER00997</t>
  </si>
  <si>
    <t>ORDER00998</t>
  </si>
  <si>
    <t>ORDER00999</t>
  </si>
  <si>
    <t>ORDER01000</t>
  </si>
  <si>
    <t>Customer_ID</t>
  </si>
  <si>
    <t>Recency</t>
  </si>
  <si>
    <t>Frequency</t>
  </si>
  <si>
    <t>Monetary</t>
  </si>
  <si>
    <t>R_Score</t>
  </si>
  <si>
    <t>F_Score</t>
  </si>
  <si>
    <t>M_Score</t>
  </si>
  <si>
    <t>RFM_Score</t>
  </si>
  <si>
    <t>RFM_Category</t>
  </si>
  <si>
    <t>Max of OrderDate</t>
  </si>
  <si>
    <t>Count of OrderID</t>
  </si>
  <si>
    <t>Sum of OrderValue</t>
  </si>
  <si>
    <t>Grand Total</t>
  </si>
  <si>
    <t>Count of Customer_ID</t>
  </si>
  <si>
    <t>At Risk</t>
  </si>
  <si>
    <t>Best Customers</t>
  </si>
  <si>
    <t>Loyal Customers</t>
  </si>
  <si>
    <t>Need Attention</t>
  </si>
  <si>
    <t>Potential Loyal Customers</t>
  </si>
  <si>
    <t>% Of Total Customers</t>
  </si>
  <si>
    <t>Sum of Monetary</t>
  </si>
  <si>
    <t>% Of Total Revenue</t>
  </si>
  <si>
    <t>The top 50% of customers account for 75% of total revenue, indicating a moderate degree of customer concentration.</t>
  </si>
  <si>
    <t>Cumulative Revenue</t>
  </si>
  <si>
    <t>% Of Cumulative Revenue</t>
  </si>
  <si>
    <t>% Of Customers</t>
  </si>
  <si>
    <t>Business Questions:</t>
  </si>
  <si>
    <t>Count of Customers</t>
  </si>
  <si>
    <t>Sum of Recency</t>
  </si>
  <si>
    <t>Average of Recency</t>
  </si>
  <si>
    <t>Sum of Frequency</t>
  </si>
  <si>
    <t>Sum of Frequency2</t>
  </si>
  <si>
    <t>Average of Frequency</t>
  </si>
  <si>
    <t>Average of Monetary2</t>
  </si>
  <si>
    <t>1. Who are my best customers?
2. Who needs a retention campaign?
3. Which segments are safe to ignore
4. Which segments generate the most revenue?
5. How dependent is the business on a small number of customers?
6. How recently have customers interacted/purchased?
7. Which segments are actually buying most frequently?
8. What is the average customer value within each segment?
9. What separates Loyal from Potential Loyal?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</si>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</sst>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%"/>
    <numFmt numFmtId="165" formatCode="&quot;$&quot;#,##0.00;\-&quot;$&quot;#,##0.00"/>
    <numFmt numFmtId="166" formatCode="0_);[Red]\(0\)"/>
    <numFmt numFmtId="167" formatCode="m/d/yyyy;@"/>
    <numFmt numFmtId="168" formatCode="[$$-409]#,##0.00"/>
  </numFmts>
  <fonts count="8">
    <font>
      <sz val="11"/>
      <color theme="1"/>
      <name val="Calibri"/>
      <charset val="134"/>
      <scheme val="minor"/>
    </font>
    <font>
      <sz val="11"/>
      <color theme="1"/>
      <name val="Aptos Narrow"/>
      <charset val="134"/>
    </font>
    <font>
      <sz val="11"/>
      <color rgb="FF000000"/>
      <name val="Aptos Narrow"/>
    </font>
    <font>
      <b/>
      <sz val="11"/>
      <color theme="1"/>
      <name val="Aptos Narrow"/>
      <charset val="134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name val="Aptos Narrow"/>
      <charset val="134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 style="thin">
        <color theme="4" tint="0.79998168889431442"/>
      </right>
      <top style="thin">
        <color theme="4" tint="0.79998168889431442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theme="4" tint="0.79998168889431442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wrapText="1"/>
    </xf>
    <xf numFmtId="164" fontId="1" fillId="0" borderId="0" xfId="0" applyNumberFormat="1" applyFont="1">
      <alignment vertical="center"/>
    </xf>
    <xf numFmtId="165" fontId="1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165" fontId="1" fillId="0" borderId="1" xfId="0" applyNumberFormat="1" applyFont="1" applyBorder="1">
      <alignment vertical="center"/>
    </xf>
    <xf numFmtId="10" fontId="1" fillId="0" borderId="1" xfId="0" applyNumberFormat="1" applyFont="1" applyBorder="1">
      <alignment vertical="center"/>
    </xf>
    <xf numFmtId="166" fontId="1" fillId="0" borderId="0" xfId="0" applyNumberFormat="1" applyFont="1">
      <alignment vertical="center"/>
    </xf>
    <xf numFmtId="167" fontId="1" fillId="0" borderId="0" xfId="0" applyNumberFormat="1" applyFont="1">
      <alignment vertical="center"/>
    </xf>
    <xf numFmtId="0" fontId="4" fillId="0" borderId="0" xfId="0" pivotButton="1" applyFont="1">
      <alignment vertical="center"/>
    </xf>
    <xf numFmtId="0" fontId="4" fillId="0" borderId="0" xfId="0" applyFont="1">
      <alignment vertical="center"/>
    </xf>
    <xf numFmtId="1" fontId="4" fillId="0" borderId="0" xfId="0" applyNumberFormat="1" applyFont="1">
      <alignment vertical="center"/>
    </xf>
    <xf numFmtId="10" fontId="4" fillId="0" borderId="0" xfId="0" applyNumberFormat="1" applyFont="1">
      <alignment vertical="center"/>
    </xf>
    <xf numFmtId="168" fontId="4" fillId="0" borderId="0" xfId="0" applyNumberFormat="1" applyFont="1">
      <alignment vertical="center"/>
    </xf>
    <xf numFmtId="0" fontId="6" fillId="0" borderId="0" xfId="0" applyFont="1">
      <alignment vertical="center"/>
    </xf>
    <xf numFmtId="165" fontId="4" fillId="0" borderId="0" xfId="0" applyNumberFormat="1" applyFont="1">
      <alignment vertical="center"/>
    </xf>
    <xf numFmtId="0" fontId="4" fillId="0" borderId="0" xfId="0" pivotButton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3" fillId="2" borderId="3" xfId="0" applyFont="1" applyFill="1" applyBorder="1">
      <alignment vertical="center"/>
    </xf>
    <xf numFmtId="164" fontId="3" fillId="2" borderId="4" xfId="0" applyNumberFormat="1" applyFont="1" applyFill="1" applyBorder="1">
      <alignment vertical="center"/>
    </xf>
    <xf numFmtId="0" fontId="1" fillId="0" borderId="5" xfId="0" applyFont="1" applyBorder="1">
      <alignment vertical="center"/>
    </xf>
    <xf numFmtId="164" fontId="1" fillId="0" borderId="6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49" fontId="1" fillId="0" borderId="8" xfId="0" applyNumberFormat="1" applyFont="1" applyBorder="1">
      <alignment vertical="center"/>
    </xf>
    <xf numFmtId="165" fontId="1" fillId="0" borderId="8" xfId="0" applyNumberFormat="1" applyFont="1" applyBorder="1">
      <alignment vertical="center"/>
    </xf>
    <xf numFmtId="10" fontId="1" fillId="0" borderId="8" xfId="0" applyNumberFormat="1" applyFont="1" applyBorder="1">
      <alignment vertical="center"/>
    </xf>
    <xf numFmtId="164" fontId="1" fillId="0" borderId="9" xfId="0" applyNumberFormat="1" applyFont="1" applyBorder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37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</dxf>
    <dxf>
      <numFmt numFmtId="30" formatCode="@"/>
    </dxf>
    <dxf>
      <font>
        <name val="Aptos Narrow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68" formatCode="[$$-409]#,##0.00"/>
    </dxf>
    <dxf>
      <numFmt numFmtId="2" formatCode="0.00"/>
    </dxf>
    <dxf>
      <numFmt numFmtId="2" formatCode="0.00"/>
    </dxf>
    <dxf>
      <font>
        <name val="Aptos Narrow"/>
        <scheme val="none"/>
      </font>
    </dxf>
    <dxf>
      <font>
        <name val="Aptos Narrow"/>
        <scheme val="none"/>
      </font>
    </dxf>
    <dxf>
      <numFmt numFmtId="14" formatCode="0.00%"/>
    </dxf>
    <dxf>
      <numFmt numFmtId="165" formatCode="&quot;$&quot;#,##0.00;\-&quot;$&quot;#,##0.00"/>
    </dxf>
    <dxf>
      <numFmt numFmtId="14" formatCode="0.00%"/>
    </dxf>
    <dxf>
      <font>
        <name val="Aptos Narrow"/>
        <scheme val="none"/>
      </font>
    </dxf>
    <dxf>
      <numFmt numFmtId="168" formatCode="[$$-409]#,##0.00"/>
    </dxf>
    <dxf>
      <numFmt numFmtId="1" formatCode="0"/>
    </dxf>
    <dxf>
      <numFmt numFmtId="1" formatCode="0"/>
    </dxf>
    <dxf>
      <font>
        <name val="Aptos Narrow"/>
        <scheme val="none"/>
      </font>
    </dxf>
    <dxf>
      <font>
        <name val="Aptos Narrow"/>
        <scheme val="none"/>
      </font>
    </dxf>
    <dxf>
      <numFmt numFmtId="168" formatCode="[$$-409]#,##0.00"/>
    </dxf>
    <dxf>
      <numFmt numFmtId="1" formatCode="0"/>
    </dxf>
    <dxf>
      <numFmt numFmtId="1" formatCode="0"/>
    </dxf>
    <dxf>
      <font>
        <name val="Aptos Narrow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Aptos Narrow"/>
        <scheme val="none"/>
      </font>
    </dxf>
    <dxf>
      <font>
        <name val="Aptos Narrow"/>
        <scheme val="none"/>
      </font>
    </dxf>
    <dxf>
      <numFmt numFmtId="14" formatCode="0.00%"/>
    </dxf>
    <dxf>
      <numFmt numFmtId="165" formatCode="&quot;$&quot;#,##0.00;\-&quot;$&quot;#,##0.00"/>
    </dxf>
    <dxf>
      <numFmt numFmtId="14" formatCode="0.00%"/>
    </dxf>
    <dxf>
      <font>
        <name val="Aptos Narrow"/>
        <scheme val="none"/>
      </font>
    </dxf>
    <dxf>
      <numFmt numFmtId="14" formatCode="0.00%"/>
    </dxf>
    <dxf>
      <numFmt numFmtId="1" formatCode="0"/>
    </dxf>
    <dxf>
      <numFmt numFmtId="1" formatCode="0"/>
    </dxf>
    <dxf>
      <font>
        <name val="Aptos Narrow"/>
        <scheme val="none"/>
      </font>
    </dxf>
    <dxf>
      <numFmt numFmtId="1" formatCode="0"/>
    </dxf>
    <dxf>
      <numFmt numFmtId="1" formatCode="0"/>
    </dxf>
    <dxf>
      <font>
        <name val="Aptos Narrow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$&quot;#,##0.00;\-&quot;$&quot;#,##0.00"/>
    </dxf>
    <dxf>
      <font>
        <name val="Aptos Narrow"/>
        <scheme val="none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4"/>
      <tableStyleElement type="headerRow" dxfId="373"/>
      <tableStyleElement type="totalRow" dxfId="372"/>
      <tableStyleElement type="firstColumn" dxfId="371"/>
      <tableStyleElement type="lastColumn" dxfId="370"/>
      <tableStyleElement type="firstRowStripe" dxfId="369"/>
      <tableStyleElement type="firstColumnStripe" dxfId="368"/>
    </tableStyle>
    <tableStyle name="PivotStylePreset2_Accent1" table="0" count="10" xr9:uid="{267968C8-6FFD-4C36-ACC1-9EA1FD1885CA}">
      <tableStyleElement type="headerRow" dxfId="367"/>
      <tableStyleElement type="totalRow" dxfId="366"/>
      <tableStyleElement type="firstRowStripe" dxfId="365"/>
      <tableStyleElement type="firstColumnStripe" dxfId="364"/>
      <tableStyleElement type="firstSubtotalRow" dxfId="363"/>
      <tableStyleElement type="secondSubtotalRow" dxfId="362"/>
      <tableStyleElement type="firstRowSubheading" dxfId="361"/>
      <tableStyleElement type="secondRowSubheading" dxfId="360"/>
      <tableStyleElement type="pageFieldLabels" dxfId="359"/>
      <tableStyleElement type="pageFieldValues" dxfId="3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OOMS-user" refreshedDate="46301.430821759299" createdVersion="5" refreshedVersion="5" minRefreshableVersion="3" recordCount="1000" xr:uid="{00000000-000A-0000-FFFF-FFFF00000000}">
  <cacheSource type="worksheet">
    <worksheetSource ref="A1:E1001" sheet="print_shop_orders"/>
  </cacheSource>
  <cacheFields count="5">
    <cacheField name="OrderID" numFmtId="0">
      <sharedItems count="1000">
        <s v="ORDER00001"/>
        <s v="ORDER00002"/>
        <s v="ORDER00003"/>
        <s v="ORDER00004"/>
        <s v="ORDER00005"/>
        <s v="ORDER00006"/>
        <s v="ORDER00007"/>
        <s v="ORDER00008"/>
        <s v="ORDER00009"/>
        <s v="ORDER00010"/>
        <s v="ORDER00011"/>
        <s v="ORDER00012"/>
        <s v="ORDER00013"/>
        <s v="ORDER00014"/>
        <s v="ORDER00015"/>
        <s v="ORDER00016"/>
        <s v="ORDER00017"/>
        <s v="ORDER00018"/>
        <s v="ORDER00019"/>
        <s v="ORDER00020"/>
        <s v="ORDER00021"/>
        <s v="ORDER00022"/>
        <s v="ORDER00023"/>
        <s v="ORDER00024"/>
        <s v="ORDER00025"/>
        <s v="ORDER00026"/>
        <s v="ORDER00027"/>
        <s v="ORDER00028"/>
        <s v="ORDER00029"/>
        <s v="ORDER00030"/>
        <s v="ORDER00031"/>
        <s v="ORDER00032"/>
        <s v="ORDER00033"/>
        <s v="ORDER00034"/>
        <s v="ORDER00035"/>
        <s v="ORDER00036"/>
        <s v="ORDER00037"/>
        <s v="ORDER00038"/>
        <s v="ORDER00039"/>
        <s v="ORDER00040"/>
        <s v="ORDER00041"/>
        <s v="ORDER00042"/>
        <s v="ORDER00043"/>
        <s v="ORDER00044"/>
        <s v="ORDER00045"/>
        <s v="ORDER00046"/>
        <s v="ORDER00047"/>
        <s v="ORDER00048"/>
        <s v="ORDER00049"/>
        <s v="ORDER00050"/>
        <s v="ORDER00051"/>
        <s v="ORDER00052"/>
        <s v="ORDER00053"/>
        <s v="ORDER00054"/>
        <s v="ORDER00055"/>
        <s v="ORDER00056"/>
        <s v="ORDER00057"/>
        <s v="ORDER00058"/>
        <s v="ORDER00059"/>
        <s v="ORDER00060"/>
        <s v="ORDER00061"/>
        <s v="ORDER00062"/>
        <s v="ORDER00063"/>
        <s v="ORDER00064"/>
        <s v="ORDER00065"/>
        <s v="ORDER00066"/>
        <s v="ORDER00067"/>
        <s v="ORDER00068"/>
        <s v="ORDER00069"/>
        <s v="ORDER00070"/>
        <s v="ORDER00071"/>
        <s v="ORDER00072"/>
        <s v="ORDER00073"/>
        <s v="ORDER00074"/>
        <s v="ORDER00075"/>
        <s v="ORDER00076"/>
        <s v="ORDER00077"/>
        <s v="ORDER00078"/>
        <s v="ORDER00079"/>
        <s v="ORDER00080"/>
        <s v="ORDER00081"/>
        <s v="ORDER00082"/>
        <s v="ORDER00083"/>
        <s v="ORDER00084"/>
        <s v="ORDER00085"/>
        <s v="ORDER00086"/>
        <s v="ORDER00087"/>
        <s v="ORDER00088"/>
        <s v="ORDER00089"/>
        <s v="ORDER00090"/>
        <s v="ORDER00091"/>
        <s v="ORDER00092"/>
        <s v="ORDER00093"/>
        <s v="ORDER00094"/>
        <s v="ORDER00095"/>
        <s v="ORDER00096"/>
        <s v="ORDER00097"/>
        <s v="ORDER00098"/>
        <s v="ORDER00099"/>
        <s v="ORDER00100"/>
        <s v="ORDER00101"/>
        <s v="ORDER00102"/>
        <s v="ORDER00103"/>
        <s v="ORDER00104"/>
        <s v="ORDER00105"/>
        <s v="ORDER00106"/>
        <s v="ORDER00107"/>
        <s v="ORDER00108"/>
        <s v="ORDER00109"/>
        <s v="ORDER00110"/>
        <s v="ORDER00111"/>
        <s v="ORDER00112"/>
        <s v="ORDER00113"/>
        <s v="ORDER00114"/>
        <s v="ORDER00115"/>
        <s v="ORDER00116"/>
        <s v="ORDER00117"/>
        <s v="ORDER00118"/>
        <s v="ORDER00119"/>
        <s v="ORDER00120"/>
        <s v="ORDER00121"/>
        <s v="ORDER00122"/>
        <s v="ORDER00123"/>
        <s v="ORDER00124"/>
        <s v="ORDER00125"/>
        <s v="ORDER00126"/>
        <s v="ORDER00127"/>
        <s v="ORDER00128"/>
        <s v="ORDER00129"/>
        <s v="ORDER00130"/>
        <s v="ORDER00131"/>
        <s v="ORDER00132"/>
        <s v="ORDER00133"/>
        <s v="ORDER00134"/>
        <s v="ORDER00135"/>
        <s v="ORDER00136"/>
        <s v="ORDER00137"/>
        <s v="ORDER00138"/>
        <s v="ORDER00139"/>
        <s v="ORDER00140"/>
        <s v="ORDER00141"/>
        <s v="ORDER00142"/>
        <s v="ORDER00143"/>
        <s v="ORDER00144"/>
        <s v="ORDER00145"/>
        <s v="ORDER00146"/>
        <s v="ORDER00147"/>
        <s v="ORDER00148"/>
        <s v="ORDER00149"/>
        <s v="ORDER00150"/>
        <s v="ORDER00151"/>
        <s v="ORDER00152"/>
        <s v="ORDER00153"/>
        <s v="ORDER00154"/>
        <s v="ORDER00155"/>
        <s v="ORDER00156"/>
        <s v="ORDER00157"/>
        <s v="ORDER00158"/>
        <s v="ORDER00159"/>
        <s v="ORDER00160"/>
        <s v="ORDER00161"/>
        <s v="ORDER00162"/>
        <s v="ORDER00163"/>
        <s v="ORDER00164"/>
        <s v="ORDER00165"/>
        <s v="ORDER00166"/>
        <s v="ORDER00167"/>
        <s v="ORDER00168"/>
        <s v="ORDER00169"/>
        <s v="ORDER00170"/>
        <s v="ORDER00171"/>
        <s v="ORDER00172"/>
        <s v="ORDER00173"/>
        <s v="ORDER00174"/>
        <s v="ORDER00175"/>
        <s v="ORDER00176"/>
        <s v="ORDER00177"/>
        <s v="ORDER00178"/>
        <s v="ORDER00179"/>
        <s v="ORDER00180"/>
        <s v="ORDER00181"/>
        <s v="ORDER00182"/>
        <s v="ORDER00183"/>
        <s v="ORDER00184"/>
        <s v="ORDER00185"/>
        <s v="ORDER00186"/>
        <s v="ORDER00187"/>
        <s v="ORDER00188"/>
        <s v="ORDER00189"/>
        <s v="ORDER00190"/>
        <s v="ORDER00191"/>
        <s v="ORDER00192"/>
        <s v="ORDER00193"/>
        <s v="ORDER00194"/>
        <s v="ORDER00195"/>
        <s v="ORDER00196"/>
        <s v="ORDER00197"/>
        <s v="ORDER00198"/>
        <s v="ORDER00199"/>
        <s v="ORDER00200"/>
        <s v="ORDER00201"/>
        <s v="ORDER00202"/>
        <s v="ORDER00203"/>
        <s v="ORDER00204"/>
        <s v="ORDER00205"/>
        <s v="ORDER00206"/>
        <s v="ORDER00207"/>
        <s v="ORDER00208"/>
        <s v="ORDER00209"/>
        <s v="ORDER00210"/>
        <s v="ORDER00211"/>
        <s v="ORDER00212"/>
        <s v="ORDER00213"/>
        <s v="ORDER00214"/>
        <s v="ORDER00215"/>
        <s v="ORDER00216"/>
        <s v="ORDER00217"/>
        <s v="ORDER00218"/>
        <s v="ORDER00219"/>
        <s v="ORDER00220"/>
        <s v="ORDER00221"/>
        <s v="ORDER00222"/>
        <s v="ORDER00223"/>
        <s v="ORDER00224"/>
        <s v="ORDER00225"/>
        <s v="ORDER00226"/>
        <s v="ORDER00227"/>
        <s v="ORDER00228"/>
        <s v="ORDER00229"/>
        <s v="ORDER00230"/>
        <s v="ORDER00231"/>
        <s v="ORDER00232"/>
        <s v="ORDER00233"/>
        <s v="ORDER00234"/>
        <s v="ORDER00235"/>
        <s v="ORDER00236"/>
        <s v="ORDER00237"/>
        <s v="ORDER00238"/>
        <s v="ORDER00239"/>
        <s v="ORDER00240"/>
        <s v="ORDER00241"/>
        <s v="ORDER00242"/>
        <s v="ORDER00243"/>
        <s v="ORDER00244"/>
        <s v="ORDER00245"/>
        <s v="ORDER00246"/>
        <s v="ORDER00247"/>
        <s v="ORDER00248"/>
        <s v="ORDER00249"/>
        <s v="ORDER00250"/>
        <s v="ORDER00251"/>
        <s v="ORDER00252"/>
        <s v="ORDER00253"/>
        <s v="ORDER00254"/>
        <s v="ORDER00255"/>
        <s v="ORDER00256"/>
        <s v="ORDER00257"/>
        <s v="ORDER00258"/>
        <s v="ORDER00259"/>
        <s v="ORDER00260"/>
        <s v="ORDER00261"/>
        <s v="ORDER00262"/>
        <s v="ORDER00263"/>
        <s v="ORDER00264"/>
        <s v="ORDER00265"/>
        <s v="ORDER00266"/>
        <s v="ORDER00267"/>
        <s v="ORDER00268"/>
        <s v="ORDER00269"/>
        <s v="ORDER00270"/>
        <s v="ORDER00271"/>
        <s v="ORDER00272"/>
        <s v="ORDER00273"/>
        <s v="ORDER00274"/>
        <s v="ORDER00275"/>
        <s v="ORDER00276"/>
        <s v="ORDER00277"/>
        <s v="ORDER00278"/>
        <s v="ORDER00279"/>
        <s v="ORDER00280"/>
        <s v="ORDER00281"/>
        <s v="ORDER00282"/>
        <s v="ORDER00283"/>
        <s v="ORDER00284"/>
        <s v="ORDER00285"/>
        <s v="ORDER00286"/>
        <s v="ORDER00287"/>
        <s v="ORDER00288"/>
        <s v="ORDER00289"/>
        <s v="ORDER00290"/>
        <s v="ORDER00291"/>
        <s v="ORDER00292"/>
        <s v="ORDER00293"/>
        <s v="ORDER00294"/>
        <s v="ORDER00295"/>
        <s v="ORDER00296"/>
        <s v="ORDER00297"/>
        <s v="ORDER00298"/>
        <s v="ORDER00299"/>
        <s v="ORDER00300"/>
        <s v="ORDER00301"/>
        <s v="ORDER00302"/>
        <s v="ORDER00303"/>
        <s v="ORDER00304"/>
        <s v="ORDER00305"/>
        <s v="ORDER00306"/>
        <s v="ORDER00307"/>
        <s v="ORDER00308"/>
        <s v="ORDER00309"/>
        <s v="ORDER00310"/>
        <s v="ORDER00311"/>
        <s v="ORDER00312"/>
        <s v="ORDER00313"/>
        <s v="ORDER00314"/>
        <s v="ORDER00315"/>
        <s v="ORDER00316"/>
        <s v="ORDER00317"/>
        <s v="ORDER00318"/>
        <s v="ORDER00319"/>
        <s v="ORDER00320"/>
        <s v="ORDER00321"/>
        <s v="ORDER00322"/>
        <s v="ORDER00323"/>
        <s v="ORDER00324"/>
        <s v="ORDER00325"/>
        <s v="ORDER00326"/>
        <s v="ORDER00327"/>
        <s v="ORDER00328"/>
        <s v="ORDER00329"/>
        <s v="ORDER00330"/>
        <s v="ORDER00331"/>
        <s v="ORDER00332"/>
        <s v="ORDER00333"/>
        <s v="ORDER00334"/>
        <s v="ORDER00335"/>
        <s v="ORDER00336"/>
        <s v="ORDER00337"/>
        <s v="ORDER00338"/>
        <s v="ORDER00339"/>
        <s v="ORDER00340"/>
        <s v="ORDER00341"/>
        <s v="ORDER00342"/>
        <s v="ORDER00343"/>
        <s v="ORDER00344"/>
        <s v="ORDER00345"/>
        <s v="ORDER00346"/>
        <s v="ORDER00347"/>
        <s v="ORDER00348"/>
        <s v="ORDER00349"/>
        <s v="ORDER00350"/>
        <s v="ORDER00351"/>
        <s v="ORDER00352"/>
        <s v="ORDER00353"/>
        <s v="ORDER00354"/>
        <s v="ORDER00355"/>
        <s v="ORDER00356"/>
        <s v="ORDER00357"/>
        <s v="ORDER00358"/>
        <s v="ORDER00359"/>
        <s v="ORDER00360"/>
        <s v="ORDER00361"/>
        <s v="ORDER00362"/>
        <s v="ORDER00363"/>
        <s v="ORDER00364"/>
        <s v="ORDER00365"/>
        <s v="ORDER00366"/>
        <s v="ORDER00367"/>
        <s v="ORDER00368"/>
        <s v="ORDER00369"/>
        <s v="ORDER00370"/>
        <s v="ORDER00371"/>
        <s v="ORDER00372"/>
        <s v="ORDER00373"/>
        <s v="ORDER00374"/>
        <s v="ORDER00375"/>
        <s v="ORDER00376"/>
        <s v="ORDER00377"/>
        <s v="ORDER00378"/>
        <s v="ORDER00379"/>
        <s v="ORDER00380"/>
        <s v="ORDER00381"/>
        <s v="ORDER00382"/>
        <s v="ORDER00383"/>
        <s v="ORDER00384"/>
        <s v="ORDER00385"/>
        <s v="ORDER00386"/>
        <s v="ORDER00387"/>
        <s v="ORDER00388"/>
        <s v="ORDER00389"/>
        <s v="ORDER00390"/>
        <s v="ORDER00391"/>
        <s v="ORDER00392"/>
        <s v="ORDER00393"/>
        <s v="ORDER00394"/>
        <s v="ORDER00395"/>
        <s v="ORDER00396"/>
        <s v="ORDER00397"/>
        <s v="ORDER00398"/>
        <s v="ORDER00399"/>
        <s v="ORDER00400"/>
        <s v="ORDER00401"/>
        <s v="ORDER00402"/>
        <s v="ORDER00403"/>
        <s v="ORDER00404"/>
        <s v="ORDER00405"/>
        <s v="ORDER00406"/>
        <s v="ORDER00407"/>
        <s v="ORDER00408"/>
        <s v="ORDER00409"/>
        <s v="ORDER00410"/>
        <s v="ORDER00411"/>
        <s v="ORDER00412"/>
        <s v="ORDER00413"/>
        <s v="ORDER00414"/>
        <s v="ORDER00415"/>
        <s v="ORDER00416"/>
        <s v="ORDER00417"/>
        <s v="ORDER00418"/>
        <s v="ORDER00419"/>
        <s v="ORDER00420"/>
        <s v="ORDER00421"/>
        <s v="ORDER00422"/>
        <s v="ORDER00423"/>
        <s v="ORDER00424"/>
        <s v="ORDER00425"/>
        <s v="ORDER00426"/>
        <s v="ORDER00427"/>
        <s v="ORDER00428"/>
        <s v="ORDER00429"/>
        <s v="ORDER00430"/>
        <s v="ORDER00431"/>
        <s v="ORDER00432"/>
        <s v="ORDER00433"/>
        <s v="ORDER00434"/>
        <s v="ORDER00435"/>
        <s v="ORDER00436"/>
        <s v="ORDER00437"/>
        <s v="ORDER00438"/>
        <s v="ORDER00439"/>
        <s v="ORDER00440"/>
        <s v="ORDER00441"/>
        <s v="ORDER00442"/>
        <s v="ORDER00443"/>
        <s v="ORDER00444"/>
        <s v="ORDER00445"/>
        <s v="ORDER00446"/>
        <s v="ORDER00447"/>
        <s v="ORDER00448"/>
        <s v="ORDER00449"/>
        <s v="ORDER00450"/>
        <s v="ORDER00451"/>
        <s v="ORDER00452"/>
        <s v="ORDER00453"/>
        <s v="ORDER00454"/>
        <s v="ORDER00455"/>
        <s v="ORDER00456"/>
        <s v="ORDER00457"/>
        <s v="ORDER00458"/>
        <s v="ORDER00459"/>
        <s v="ORDER00460"/>
        <s v="ORDER00461"/>
        <s v="ORDER00462"/>
        <s v="ORDER00463"/>
        <s v="ORDER00464"/>
        <s v="ORDER00465"/>
        <s v="ORDER00466"/>
        <s v="ORDER00467"/>
        <s v="ORDER00468"/>
        <s v="ORDER00469"/>
        <s v="ORDER00470"/>
        <s v="ORDER00471"/>
        <s v="ORDER00472"/>
        <s v="ORDER00473"/>
        <s v="ORDER00474"/>
        <s v="ORDER00475"/>
        <s v="ORDER00476"/>
        <s v="ORDER00477"/>
        <s v="ORDER00478"/>
        <s v="ORDER00479"/>
        <s v="ORDER00480"/>
        <s v="ORDER00481"/>
        <s v="ORDER00482"/>
        <s v="ORDER00483"/>
        <s v="ORDER00484"/>
        <s v="ORDER00485"/>
        <s v="ORDER00486"/>
        <s v="ORDER00487"/>
        <s v="ORDER00488"/>
        <s v="ORDER00489"/>
        <s v="ORDER00490"/>
        <s v="ORDER00491"/>
        <s v="ORDER00492"/>
        <s v="ORDER00493"/>
        <s v="ORDER00494"/>
        <s v="ORDER00495"/>
        <s v="ORDER00496"/>
        <s v="ORDER00497"/>
        <s v="ORDER00498"/>
        <s v="ORDER00499"/>
        <s v="ORDER00500"/>
        <s v="ORDER00501"/>
        <s v="ORDER00502"/>
        <s v="ORDER00503"/>
        <s v="ORDER00504"/>
        <s v="ORDER00505"/>
        <s v="ORDER00506"/>
        <s v="ORDER00507"/>
        <s v="ORDER00508"/>
        <s v="ORDER00509"/>
        <s v="ORDER00510"/>
        <s v="ORDER00511"/>
        <s v="ORDER00512"/>
        <s v="ORDER00513"/>
        <s v="ORDER00514"/>
        <s v="ORDER00515"/>
        <s v="ORDER00516"/>
        <s v="ORDER00517"/>
        <s v="ORDER00518"/>
        <s v="ORDER00519"/>
        <s v="ORDER00520"/>
        <s v="ORDER00521"/>
        <s v="ORDER00522"/>
        <s v="ORDER00523"/>
        <s v="ORDER00524"/>
        <s v="ORDER00525"/>
        <s v="ORDER00526"/>
        <s v="ORDER00527"/>
        <s v="ORDER00528"/>
        <s v="ORDER00529"/>
        <s v="ORDER00530"/>
        <s v="ORDER00531"/>
        <s v="ORDER00532"/>
        <s v="ORDER00533"/>
        <s v="ORDER00534"/>
        <s v="ORDER00535"/>
        <s v="ORDER00536"/>
        <s v="ORDER00537"/>
        <s v="ORDER00538"/>
        <s v="ORDER00539"/>
        <s v="ORDER00540"/>
        <s v="ORDER00541"/>
        <s v="ORDER00542"/>
        <s v="ORDER00543"/>
        <s v="ORDER00544"/>
        <s v="ORDER00545"/>
        <s v="ORDER00546"/>
        <s v="ORDER00547"/>
        <s v="ORDER00548"/>
        <s v="ORDER00549"/>
        <s v="ORDER00550"/>
        <s v="ORDER00551"/>
        <s v="ORDER00552"/>
        <s v="ORDER00553"/>
        <s v="ORDER00554"/>
        <s v="ORDER00555"/>
        <s v="ORDER00556"/>
        <s v="ORDER00557"/>
        <s v="ORDER00558"/>
        <s v="ORDER00559"/>
        <s v="ORDER00560"/>
        <s v="ORDER00561"/>
        <s v="ORDER00562"/>
        <s v="ORDER00563"/>
        <s v="ORDER00564"/>
        <s v="ORDER00565"/>
        <s v="ORDER00566"/>
        <s v="ORDER00567"/>
        <s v="ORDER00568"/>
        <s v="ORDER00569"/>
        <s v="ORDER00570"/>
        <s v="ORDER00571"/>
        <s v="ORDER00572"/>
        <s v="ORDER00573"/>
        <s v="ORDER00574"/>
        <s v="ORDER00575"/>
        <s v="ORDER00576"/>
        <s v="ORDER00577"/>
        <s v="ORDER00578"/>
        <s v="ORDER00579"/>
        <s v="ORDER00580"/>
        <s v="ORDER00581"/>
        <s v="ORDER00582"/>
        <s v="ORDER00583"/>
        <s v="ORDER00584"/>
        <s v="ORDER00585"/>
        <s v="ORDER00586"/>
        <s v="ORDER00587"/>
        <s v="ORDER00588"/>
        <s v="ORDER00589"/>
        <s v="ORDER00590"/>
        <s v="ORDER00591"/>
        <s v="ORDER00592"/>
        <s v="ORDER00593"/>
        <s v="ORDER00594"/>
        <s v="ORDER00595"/>
        <s v="ORDER00596"/>
        <s v="ORDER00597"/>
        <s v="ORDER00598"/>
        <s v="ORDER00599"/>
        <s v="ORDER00600"/>
        <s v="ORDER00601"/>
        <s v="ORDER00602"/>
        <s v="ORDER00603"/>
        <s v="ORDER00604"/>
        <s v="ORDER00605"/>
        <s v="ORDER00606"/>
        <s v="ORDER00607"/>
        <s v="ORDER00608"/>
        <s v="ORDER00609"/>
        <s v="ORDER00610"/>
        <s v="ORDER00611"/>
        <s v="ORDER00612"/>
        <s v="ORDER00613"/>
        <s v="ORDER00614"/>
        <s v="ORDER00615"/>
        <s v="ORDER00616"/>
        <s v="ORDER00617"/>
        <s v="ORDER00618"/>
        <s v="ORDER00619"/>
        <s v="ORDER00620"/>
        <s v="ORDER00621"/>
        <s v="ORDER00622"/>
        <s v="ORDER00623"/>
        <s v="ORDER00624"/>
        <s v="ORDER00625"/>
        <s v="ORDER00626"/>
        <s v="ORDER00627"/>
        <s v="ORDER00628"/>
        <s v="ORDER00629"/>
        <s v="ORDER00630"/>
        <s v="ORDER00631"/>
        <s v="ORDER00632"/>
        <s v="ORDER00633"/>
        <s v="ORDER00634"/>
        <s v="ORDER00635"/>
        <s v="ORDER00636"/>
        <s v="ORDER00637"/>
        <s v="ORDER00638"/>
        <s v="ORDER00639"/>
        <s v="ORDER00640"/>
        <s v="ORDER00641"/>
        <s v="ORDER00642"/>
        <s v="ORDER00643"/>
        <s v="ORDER00644"/>
        <s v="ORDER00645"/>
        <s v="ORDER00646"/>
        <s v="ORDER00647"/>
        <s v="ORDER00648"/>
        <s v="ORDER00649"/>
        <s v="ORDER00650"/>
        <s v="ORDER00651"/>
        <s v="ORDER00652"/>
        <s v="ORDER00653"/>
        <s v="ORDER00654"/>
        <s v="ORDER00655"/>
        <s v="ORDER00656"/>
        <s v="ORDER00657"/>
        <s v="ORDER00658"/>
        <s v="ORDER00659"/>
        <s v="ORDER00660"/>
        <s v="ORDER00661"/>
        <s v="ORDER00662"/>
        <s v="ORDER00663"/>
        <s v="ORDER00664"/>
        <s v="ORDER00665"/>
        <s v="ORDER00666"/>
        <s v="ORDER00667"/>
        <s v="ORDER00668"/>
        <s v="ORDER00669"/>
        <s v="ORDER00670"/>
        <s v="ORDER00671"/>
        <s v="ORDER00672"/>
        <s v="ORDER00673"/>
        <s v="ORDER00674"/>
        <s v="ORDER00675"/>
        <s v="ORDER00676"/>
        <s v="ORDER00677"/>
        <s v="ORDER00678"/>
        <s v="ORDER00679"/>
        <s v="ORDER00680"/>
        <s v="ORDER00681"/>
        <s v="ORDER00682"/>
        <s v="ORDER00683"/>
        <s v="ORDER00684"/>
        <s v="ORDER00685"/>
        <s v="ORDER00686"/>
        <s v="ORDER00687"/>
        <s v="ORDER00688"/>
        <s v="ORDER00689"/>
        <s v="ORDER00690"/>
        <s v="ORDER00691"/>
        <s v="ORDER00692"/>
        <s v="ORDER00693"/>
        <s v="ORDER00694"/>
        <s v="ORDER00695"/>
        <s v="ORDER00696"/>
        <s v="ORDER00697"/>
        <s v="ORDER00698"/>
        <s v="ORDER00699"/>
        <s v="ORDER00700"/>
        <s v="ORDER00701"/>
        <s v="ORDER00702"/>
        <s v="ORDER00703"/>
        <s v="ORDER00704"/>
        <s v="ORDER00705"/>
        <s v="ORDER00706"/>
        <s v="ORDER00707"/>
        <s v="ORDER00708"/>
        <s v="ORDER00709"/>
        <s v="ORDER00710"/>
        <s v="ORDER00711"/>
        <s v="ORDER00712"/>
        <s v="ORDER00713"/>
        <s v="ORDER00714"/>
        <s v="ORDER00715"/>
        <s v="ORDER00716"/>
        <s v="ORDER00717"/>
        <s v="ORDER00718"/>
        <s v="ORDER00719"/>
        <s v="ORDER00720"/>
        <s v="ORDER00721"/>
        <s v="ORDER00722"/>
        <s v="ORDER00723"/>
        <s v="ORDER00724"/>
        <s v="ORDER00725"/>
        <s v="ORDER00726"/>
        <s v="ORDER00727"/>
        <s v="ORDER00728"/>
        <s v="ORDER00729"/>
        <s v="ORDER00730"/>
        <s v="ORDER00731"/>
        <s v="ORDER00732"/>
        <s v="ORDER00733"/>
        <s v="ORDER00734"/>
        <s v="ORDER00735"/>
        <s v="ORDER00736"/>
        <s v="ORDER00737"/>
        <s v="ORDER00738"/>
        <s v="ORDER00739"/>
        <s v="ORDER00740"/>
        <s v="ORDER00741"/>
        <s v="ORDER00742"/>
        <s v="ORDER00743"/>
        <s v="ORDER00744"/>
        <s v="ORDER00745"/>
        <s v="ORDER00746"/>
        <s v="ORDER00747"/>
        <s v="ORDER00748"/>
        <s v="ORDER00749"/>
        <s v="ORDER00750"/>
        <s v="ORDER00751"/>
        <s v="ORDER00752"/>
        <s v="ORDER00753"/>
        <s v="ORDER00754"/>
        <s v="ORDER00755"/>
        <s v="ORDER00756"/>
        <s v="ORDER00757"/>
        <s v="ORDER00758"/>
        <s v="ORDER00759"/>
        <s v="ORDER00760"/>
        <s v="ORDER00761"/>
        <s v="ORDER00762"/>
        <s v="ORDER00763"/>
        <s v="ORDER00764"/>
        <s v="ORDER00765"/>
        <s v="ORDER00766"/>
        <s v="ORDER00767"/>
        <s v="ORDER00768"/>
        <s v="ORDER00769"/>
        <s v="ORDER00770"/>
        <s v="ORDER00771"/>
        <s v="ORDER00772"/>
        <s v="ORDER00773"/>
        <s v="ORDER00774"/>
        <s v="ORDER00775"/>
        <s v="ORDER00776"/>
        <s v="ORDER00777"/>
        <s v="ORDER00778"/>
        <s v="ORDER00779"/>
        <s v="ORDER00780"/>
        <s v="ORDER00781"/>
        <s v="ORDER00782"/>
        <s v="ORDER00783"/>
        <s v="ORDER00784"/>
        <s v="ORDER00785"/>
        <s v="ORDER00786"/>
        <s v="ORDER00787"/>
        <s v="ORDER00788"/>
        <s v="ORDER00789"/>
        <s v="ORDER00790"/>
        <s v="ORDER00791"/>
        <s v="ORDER00792"/>
        <s v="ORDER00793"/>
        <s v="ORDER00794"/>
        <s v="ORDER00795"/>
        <s v="ORDER00796"/>
        <s v="ORDER00797"/>
        <s v="ORDER00798"/>
        <s v="ORDER00799"/>
        <s v="ORDER00800"/>
        <s v="ORDER00801"/>
        <s v="ORDER00802"/>
        <s v="ORDER00803"/>
        <s v="ORDER00804"/>
        <s v="ORDER00805"/>
        <s v="ORDER00806"/>
        <s v="ORDER00807"/>
        <s v="ORDER00808"/>
        <s v="ORDER00809"/>
        <s v="ORDER00810"/>
        <s v="ORDER00811"/>
        <s v="ORDER00812"/>
        <s v="ORDER00813"/>
        <s v="ORDER00814"/>
        <s v="ORDER00815"/>
        <s v="ORDER00816"/>
        <s v="ORDER00817"/>
        <s v="ORDER00818"/>
        <s v="ORDER00819"/>
        <s v="ORDER00820"/>
        <s v="ORDER00821"/>
        <s v="ORDER00822"/>
        <s v="ORDER00823"/>
        <s v="ORDER00824"/>
        <s v="ORDER00825"/>
        <s v="ORDER00826"/>
        <s v="ORDER00827"/>
        <s v="ORDER00828"/>
        <s v="ORDER00829"/>
        <s v="ORDER00830"/>
        <s v="ORDER00831"/>
        <s v="ORDER00832"/>
        <s v="ORDER00833"/>
        <s v="ORDER00834"/>
        <s v="ORDER00835"/>
        <s v="ORDER00836"/>
        <s v="ORDER00837"/>
        <s v="ORDER00838"/>
        <s v="ORDER00839"/>
        <s v="ORDER00840"/>
        <s v="ORDER00841"/>
        <s v="ORDER00842"/>
        <s v="ORDER00843"/>
        <s v="ORDER00844"/>
        <s v="ORDER00845"/>
        <s v="ORDER00846"/>
        <s v="ORDER00847"/>
        <s v="ORDER00848"/>
        <s v="ORDER00849"/>
        <s v="ORDER00850"/>
        <s v="ORDER00851"/>
        <s v="ORDER00852"/>
        <s v="ORDER00853"/>
        <s v="ORDER00854"/>
        <s v="ORDER00855"/>
        <s v="ORDER00856"/>
        <s v="ORDER00857"/>
        <s v="ORDER00858"/>
        <s v="ORDER00859"/>
        <s v="ORDER00860"/>
        <s v="ORDER00861"/>
        <s v="ORDER00862"/>
        <s v="ORDER00863"/>
        <s v="ORDER00864"/>
        <s v="ORDER00865"/>
        <s v="ORDER00866"/>
        <s v="ORDER00867"/>
        <s v="ORDER00868"/>
        <s v="ORDER00869"/>
        <s v="ORDER00870"/>
        <s v="ORDER00871"/>
        <s v="ORDER00872"/>
        <s v="ORDER00873"/>
        <s v="ORDER00874"/>
        <s v="ORDER00875"/>
        <s v="ORDER00876"/>
        <s v="ORDER00877"/>
        <s v="ORDER00878"/>
        <s v="ORDER00879"/>
        <s v="ORDER00880"/>
        <s v="ORDER00881"/>
        <s v="ORDER00882"/>
        <s v="ORDER00883"/>
        <s v="ORDER00884"/>
        <s v="ORDER00885"/>
        <s v="ORDER00886"/>
        <s v="ORDER00887"/>
        <s v="ORDER00888"/>
        <s v="ORDER00889"/>
        <s v="ORDER00890"/>
        <s v="ORDER00891"/>
        <s v="ORDER00892"/>
        <s v="ORDER00893"/>
        <s v="ORDER00894"/>
        <s v="ORDER00895"/>
        <s v="ORDER00896"/>
        <s v="ORDER00897"/>
        <s v="ORDER00898"/>
        <s v="ORDER00899"/>
        <s v="ORDER00900"/>
        <s v="ORDER00901"/>
        <s v="ORDER00902"/>
        <s v="ORDER00903"/>
        <s v="ORDER00904"/>
        <s v="ORDER00905"/>
        <s v="ORDER00906"/>
        <s v="ORDER00907"/>
        <s v="ORDER00908"/>
        <s v="ORDER00909"/>
        <s v="ORDER00910"/>
        <s v="ORDER00911"/>
        <s v="ORDER00912"/>
        <s v="ORDER00913"/>
        <s v="ORDER00914"/>
        <s v="ORDER00915"/>
        <s v="ORDER00916"/>
        <s v="ORDER00917"/>
        <s v="ORDER00918"/>
        <s v="ORDER00919"/>
        <s v="ORDER00920"/>
        <s v="ORDER00921"/>
        <s v="ORDER00922"/>
        <s v="ORDER00923"/>
        <s v="ORDER00924"/>
        <s v="ORDER00925"/>
        <s v="ORDER00926"/>
        <s v="ORDER00927"/>
        <s v="ORDER00928"/>
        <s v="ORDER00929"/>
        <s v="ORDER00930"/>
        <s v="ORDER00931"/>
        <s v="ORDER00932"/>
        <s v="ORDER00933"/>
        <s v="ORDER00934"/>
        <s v="ORDER00935"/>
        <s v="ORDER00936"/>
        <s v="ORDER00937"/>
        <s v="ORDER00938"/>
        <s v="ORDER00939"/>
        <s v="ORDER00940"/>
        <s v="ORDER00941"/>
        <s v="ORDER00942"/>
        <s v="ORDER00943"/>
        <s v="ORDER00944"/>
        <s v="ORDER00945"/>
        <s v="ORDER00946"/>
        <s v="ORDER00947"/>
        <s v="ORDER00948"/>
        <s v="ORDER00949"/>
        <s v="ORDER00950"/>
        <s v="ORDER00951"/>
        <s v="ORDER00952"/>
        <s v="ORDER00953"/>
        <s v="ORDER00954"/>
        <s v="ORDER00955"/>
        <s v="ORDER00956"/>
        <s v="ORDER00957"/>
        <s v="ORDER00958"/>
        <s v="ORDER00959"/>
        <s v="ORDER00960"/>
        <s v="ORDER00961"/>
        <s v="ORDER00962"/>
        <s v="ORDER00963"/>
        <s v="ORDER00964"/>
        <s v="ORDER00965"/>
        <s v="ORDER00966"/>
        <s v="ORDER00967"/>
        <s v="ORDER00968"/>
        <s v="ORDER00969"/>
        <s v="ORDER00970"/>
        <s v="ORDER00971"/>
        <s v="ORDER00972"/>
        <s v="ORDER00973"/>
        <s v="ORDER00974"/>
        <s v="ORDER00975"/>
        <s v="ORDER00976"/>
        <s v="ORDER00977"/>
        <s v="ORDER00978"/>
        <s v="ORDER00979"/>
        <s v="ORDER00980"/>
        <s v="ORDER00981"/>
        <s v="ORDER00982"/>
        <s v="ORDER00983"/>
        <s v="ORDER00984"/>
        <s v="ORDER00985"/>
        <s v="ORDER00986"/>
        <s v="ORDER00987"/>
        <s v="ORDER00988"/>
        <s v="ORDER00989"/>
        <s v="ORDER00990"/>
        <s v="ORDER00991"/>
        <s v="ORDER00992"/>
        <s v="ORDER00993"/>
        <s v="ORDER00994"/>
        <s v="ORDER00995"/>
        <s v="ORDER00996"/>
        <s v="ORDER00997"/>
        <s v="ORDER00998"/>
        <s v="ORDER00999"/>
        <s v="ORDER01000"/>
      </sharedItems>
    </cacheField>
    <cacheField name="CustomerID" numFmtId="0">
      <sharedItems count="287">
        <s v="CUST0259"/>
        <s v="CUST0161"/>
        <s v="CUST0178"/>
        <s v="CUST0010"/>
        <s v="CUST0261"/>
        <s v="CUST0138"/>
        <s v="CUST0172"/>
        <s v="CUST0013"/>
        <s v="CUST0168"/>
        <s v="CUST0130"/>
        <s v="CUST0084"/>
        <s v="CUST0101"/>
        <s v="CUST0273"/>
        <s v="CUST0265"/>
        <s v="CUST0038"/>
        <s v="CUST0094"/>
        <s v="CUST0095"/>
        <s v="CUST0069"/>
        <s v="CUST0236"/>
        <s v="CUST0137"/>
        <s v="CUST0076"/>
        <s v="CUST0035"/>
        <s v="CUST0001"/>
        <s v="CUST0296"/>
        <s v="CUST0060"/>
        <s v="CUST0267"/>
        <s v="CUST0229"/>
        <s v="CUST0270"/>
        <s v="CUST0286"/>
        <s v="CUST0291"/>
        <s v="CUST0213"/>
        <s v="CUST0165"/>
        <s v="CUST0005"/>
        <s v="CUST0078"/>
        <s v="CUST0062"/>
        <s v="CUST0132"/>
        <s v="CUST0089"/>
        <s v="CUST0237"/>
        <s v="CUST0042"/>
        <s v="CUST0295"/>
        <s v="CUST0104"/>
        <s v="CUST0014"/>
        <s v="CUST0288"/>
        <s v="CUST0179"/>
        <s v="CUST0125"/>
        <s v="CUST0023"/>
        <s v="CUST0063"/>
        <s v="CUST0143"/>
        <s v="CUST0153"/>
        <s v="CUST0145"/>
        <s v="CUST0225"/>
        <s v="CUST0039"/>
        <s v="CUST0198"/>
        <s v="CUST0134"/>
        <s v="CUST0067"/>
        <s v="CUST0015"/>
        <s v="CUST0111"/>
        <s v="CUST0157"/>
        <s v="CUST0289"/>
        <s v="CUST0231"/>
        <s v="CUST0097"/>
        <s v="CUST0254"/>
        <s v="CUST0196"/>
        <s v="CUST0086"/>
        <s v="CUST0123"/>
        <s v="CUST0118"/>
        <s v="CUST0294"/>
        <s v="CUST0159"/>
        <s v="CUST0228"/>
        <s v="CUST0216"/>
        <s v="CUST0184"/>
        <s v="CUST0136"/>
        <s v="CUST0047"/>
        <s v="CUST0173"/>
        <s v="CUST0115"/>
        <s v="CUST0243"/>
        <s v="CUST0292"/>
        <s v="CUST0282"/>
        <s v="CUST0299"/>
        <s v="CUST0283"/>
        <s v="CUST0148"/>
        <s v="CUST0011"/>
        <s v="CUST0200"/>
        <s v="CUST0218"/>
        <s v="CUST0141"/>
        <s v="CUST0210"/>
        <s v="CUST0171"/>
        <s v="CUST0133"/>
        <s v="CUST0293"/>
        <s v="CUST0127"/>
        <s v="CUST0106"/>
        <s v="CUST0092"/>
        <s v="CUST0287"/>
        <s v="CUST0051"/>
        <s v="CUST0029"/>
        <s v="CUST0297"/>
        <s v="CUST0214"/>
        <s v="CUST0257"/>
        <s v="CUST0110"/>
        <s v="CUST0182"/>
        <s v="CUST0055"/>
        <s v="CUST0149"/>
        <s v="CUST0202"/>
        <s v="CUST0117"/>
        <s v="CUST0154"/>
        <s v="CUST0244"/>
        <s v="CUST0025"/>
        <s v="CUST0090"/>
        <s v="CUST0075"/>
        <s v="CUST0017"/>
        <s v="CUST0128"/>
        <s v="CUST0251"/>
        <s v="CUST0152"/>
        <s v="CUST0180"/>
        <s v="CUST0177"/>
        <s v="CUST0285"/>
        <s v="CUST0150"/>
        <s v="CUST0156"/>
        <s v="CUST0049"/>
        <s v="CUST0189"/>
        <s v="CUST0224"/>
        <s v="CUST0215"/>
        <s v="CUST0211"/>
        <s v="CUST0032"/>
        <s v="CUST0158"/>
        <s v="CUST0144"/>
        <s v="CUST0019"/>
        <s v="CUST0018"/>
        <s v="CUST0175"/>
        <s v="CUST0194"/>
        <s v="CUST0113"/>
        <s v="CUST0114"/>
        <s v="CUST0222"/>
        <s v="CUST0166"/>
        <s v="CUST0264"/>
        <s v="CUST0131"/>
        <s v="CUST0266"/>
        <s v="CUST0162"/>
        <s v="CUST0087"/>
        <s v="CUST0008"/>
        <s v="CUST0247"/>
        <s v="CUST0255"/>
        <s v="CUST0054"/>
        <s v="CUST0249"/>
        <s v="CUST0239"/>
        <s v="CUST0096"/>
        <s v="CUST0088"/>
        <s v="CUST0120"/>
        <s v="CUST0223"/>
        <s v="CUST0007"/>
        <s v="CUST0263"/>
        <s v="CUST0151"/>
        <s v="CUST0085"/>
        <s v="CUST0147"/>
        <s v="CUST0112"/>
        <s v="CUST0036"/>
        <s v="CUST0188"/>
        <s v="CUST0082"/>
        <s v="CUST0002"/>
        <s v="CUST0197"/>
        <s v="CUST0234"/>
        <s v="CUST0195"/>
        <s v="CUST0119"/>
        <s v="CUST0020"/>
        <s v="CUST0256"/>
        <s v="CUST0226"/>
        <s v="CUST0053"/>
        <s v="CUST0280"/>
        <s v="CUST0081"/>
        <s v="CUST0059"/>
        <s v="CUST0209"/>
        <s v="CUST0009"/>
        <s v="CUST0040"/>
        <s v="CUST0281"/>
        <s v="CUST0201"/>
        <s v="CUST0246"/>
        <s v="CUST0278"/>
        <s v="CUST0235"/>
        <s v="CUST0004"/>
        <s v="CUST0109"/>
        <s v="CUST0098"/>
        <s v="CUST0146"/>
        <s v="CUST0041"/>
        <s v="CUST0034"/>
        <s v="CUST0027"/>
        <s v="CUST0219"/>
        <s v="CUST0268"/>
        <s v="CUST0190"/>
        <s v="CUST0122"/>
        <s v="CUST0046"/>
        <s v="CUST0064"/>
        <s v="CUST0193"/>
        <s v="CUST0181"/>
        <s v="CUST0164"/>
        <s v="CUST0187"/>
        <s v="CUST0232"/>
        <s v="CUST0227"/>
        <s v="CUST0250"/>
        <s v="CUST0073"/>
        <s v="CUST0129"/>
        <s v="CUST0217"/>
        <s v="CUST0061"/>
        <s v="CUST0108"/>
        <s v="CUST0102"/>
        <s v="CUST0012"/>
        <s v="CUST0275"/>
        <s v="CUST0044"/>
        <s v="CUST0057"/>
        <s v="CUST0080"/>
        <s v="CUST0026"/>
        <s v="CUST0016"/>
        <s v="CUST0199"/>
        <s v="CUST0176"/>
        <s v="CUST0103"/>
        <s v="CUST0183"/>
        <s v="CUST0170"/>
        <s v="CUST0269"/>
        <s v="CUST0274"/>
        <s v="CUST0245"/>
        <s v="CUST0185"/>
        <s v="CUST0272"/>
        <s v="CUST0065"/>
        <s v="CUST0003"/>
        <s v="CUST0142"/>
        <s v="CUST0140"/>
        <s v="CUST0052"/>
        <s v="CUST0260"/>
        <s v="CUST0072"/>
        <s v="CUST0107"/>
        <s v="CUST0241"/>
        <s v="CUST0262"/>
        <s v="CUST0099"/>
        <s v="CUST0160"/>
        <s v="CUST0068"/>
        <s v="CUST0105"/>
        <s v="CUST0124"/>
        <s v="CUST0037"/>
        <s v="CUST0284"/>
        <s v="CUST0186"/>
        <s v="CUST0056"/>
        <s v="CUST0169"/>
        <s v="CUST0045"/>
        <s v="CUST0191"/>
        <s v="CUST0155"/>
        <s v="CUST0031"/>
        <s v="CUST0258"/>
        <s v="CUST0206"/>
        <s v="CUST0077"/>
        <s v="CUST0233"/>
        <s v="CUST0163"/>
        <s v="CUST0074"/>
        <s v="CUST0242"/>
        <s v="CUST0192"/>
        <s v="CUST0022"/>
        <s v="CUST0204"/>
        <s v="CUST0033"/>
        <s v="CUST0079"/>
        <s v="CUST0058"/>
        <s v="CUST0271"/>
        <s v="CUST0021"/>
        <s v="CUST0208"/>
        <s v="CUST0093"/>
        <s v="CUST0174"/>
        <s v="CUST0050"/>
        <s v="CUST0024"/>
        <s v="CUST0205"/>
        <s v="CUST0277"/>
        <s v="CUST0116"/>
        <s v="CUST0238"/>
        <s v="CUST0221"/>
        <s v="CUST0300"/>
        <s v="CUST0207"/>
        <s v="CUST0220"/>
        <s v="CUST0066"/>
        <s v="CUST0100"/>
        <s v="CUST0240"/>
        <s v="CUST0298"/>
        <s v="CUST0028"/>
        <s v="CUST0276"/>
        <s v="CUST0121"/>
        <s v="CUST0126"/>
        <s v="CUST0290"/>
        <s v="CUST0279"/>
        <s v="CUST0043"/>
        <s v="CUST0203"/>
        <s v="CUST0071"/>
        <s v="CUST0167"/>
      </sharedItems>
    </cacheField>
    <cacheField name="OrderDate" numFmtId="167">
      <sharedItems containsSemiMixedTypes="0" containsNonDate="0" containsDate="1" containsString="0" minDate="2025-10-06T09:49:09" maxDate="2026-10-05T09:49:09" count="336">
        <d v="2026-01-16T09:49:09"/>
        <d v="2026-09-19T09:49:09"/>
        <d v="2026-07-03T09:49:09"/>
        <d v="2026-01-20T09:49:09"/>
        <d v="2025-12-16T09:49:09"/>
        <d v="2026-04-12T09:49:09"/>
        <d v="2025-10-26T09:49:09"/>
        <d v="2026-02-04T09:49:09"/>
        <d v="2026-05-08T09:49:09"/>
        <d v="2026-09-01T09:49:09"/>
        <d v="2026-01-01T09:49:09"/>
        <d v="2026-01-13T09:49:09"/>
        <d v="2026-09-30T09:49:09"/>
        <d v="2026-03-06T09:49:09"/>
        <d v="2026-02-13T09:49:09"/>
        <d v="2026-03-04T09:49:09"/>
        <d v="2026-08-10T09:49:09"/>
        <d v="2026-06-20T09:49:09"/>
        <d v="2026-09-14T09:49:09"/>
        <d v="2026-07-26T09:49:09"/>
        <d v="2026-04-15T09:49:09"/>
        <d v="2026-07-09T09:49:09"/>
        <d v="2026-03-15T09:49:09"/>
        <d v="2026-08-15T09:49:09"/>
        <d v="2025-10-27T09:49:09"/>
        <d v="2026-06-15T09:49:09"/>
        <d v="2026-05-29T09:49:09"/>
        <d v="2026-09-15T09:49:09"/>
        <d v="2025-11-23T09:49:09"/>
        <d v="2025-12-03T09:49:09"/>
        <d v="2026-03-24T09:49:09"/>
        <d v="2026-04-11T09:49:09"/>
        <d v="2026-04-13T09:49:09"/>
        <d v="2026-03-29T09:49:09"/>
        <d v="2025-11-25T09:49:09"/>
        <d v="2026-10-04T09:49:09"/>
        <d v="2025-11-29T09:49:09"/>
        <d v="2026-06-06T09:49:09"/>
        <d v="2026-08-21T09:49:09"/>
        <d v="2026-08-08T09:49:09"/>
        <d v="2026-02-17T09:49:09"/>
        <d v="2026-08-30T09:49:09"/>
        <d v="2026-03-21T09:49:09"/>
        <d v="2026-07-06T09:49:09"/>
        <d v="2026-01-02T09:49:09"/>
        <d v="2026-08-17T09:49:09"/>
        <d v="2025-10-19T09:49:09"/>
        <d v="2026-06-04T09:49:09"/>
        <d v="2026-06-27T09:49:09"/>
        <d v="2026-09-16T09:49:09"/>
        <d v="2025-11-27T09:49:09"/>
        <d v="2026-09-10T09:49:09"/>
        <d v="2026-01-05T09:49:09"/>
        <d v="2026-06-26T09:49:09"/>
        <d v="2025-11-09T09:49:09"/>
        <d v="2026-04-29T09:49:09"/>
        <d v="2025-12-25T09:49:09"/>
        <d v="2025-11-24T09:49:09"/>
        <d v="2025-10-07T09:49:09"/>
        <d v="2025-11-28T09:49:09"/>
        <d v="2026-01-19T09:49:09"/>
        <d v="2026-06-22T09:49:09"/>
        <d v="2026-08-11T09:49:09"/>
        <d v="2026-04-14T09:49:09"/>
        <d v="2026-05-11T09:49:09"/>
        <d v="2025-11-18T09:49:09"/>
        <d v="2026-03-16T09:49:09"/>
        <d v="2026-04-25T09:49:09"/>
        <d v="2026-07-02T09:49:09"/>
        <d v="2026-09-21T09:49:09"/>
        <d v="2026-08-05T09:49:09"/>
        <d v="2026-06-14T09:49:09"/>
        <d v="2026-07-28T09:49:09"/>
        <d v="2026-05-06T09:49:09"/>
        <d v="2026-05-01T09:49:09"/>
        <d v="2026-05-30T09:49:09"/>
        <d v="2026-09-08T09:49:09"/>
        <d v="2026-07-12T09:49:09"/>
        <d v="2026-05-10T09:49:09"/>
        <d v="2025-11-15T09:49:09"/>
        <d v="2026-03-11T09:49:09"/>
        <d v="2025-10-20T09:49:09"/>
        <d v="2026-08-02T09:49:09"/>
        <d v="2025-12-09T09:49:09"/>
        <d v="2026-08-28T09:49:09"/>
        <d v="2025-10-14T09:49:09"/>
        <d v="2026-02-11T09:49:09"/>
        <d v="2026-02-18T09:49:09"/>
        <d v="2025-12-07T09:49:09"/>
        <d v="2026-02-21T09:49:09"/>
        <d v="2026-03-17T09:49:09"/>
        <d v="2026-07-21T09:49:09"/>
        <d v="2026-06-23T09:49:09"/>
        <d v="2026-05-24T09:49:09"/>
        <d v="2025-11-02T09:49:09"/>
        <d v="2026-04-24T09:49:09"/>
        <d v="2026-08-29T09:49:09"/>
        <d v="2026-06-30T09:49:09"/>
        <d v="2025-11-07T09:49:09"/>
        <d v="2025-11-22T09:49:09"/>
        <d v="2025-12-06T09:49:09"/>
        <d v="2026-05-09T09:49:09"/>
        <d v="2026-07-25T09:49:09"/>
        <d v="2026-01-12T09:49:09"/>
        <d v="2026-03-26T09:49:09"/>
        <d v="2026-05-07T09:49:09"/>
        <d v="2026-05-20T09:49:09"/>
        <d v="2026-01-14T09:49:09"/>
        <d v="2026-06-19T09:49:09"/>
        <d v="2025-10-10T09:49:09"/>
        <d v="2026-06-17T09:49:09"/>
        <d v="2026-09-29T09:49:09"/>
        <d v="2026-07-15T09:49:09"/>
        <d v="2026-04-30T09:49:09"/>
        <d v="2025-11-16T09:49:09"/>
        <d v="2026-04-02T09:49:09"/>
        <d v="2026-09-22T09:49:09"/>
        <d v="2026-06-03T09:49:09"/>
        <d v="2025-11-26T09:49:09"/>
        <d v="2026-01-09T09:49:09"/>
        <d v="2026-05-15T09:49:09"/>
        <d v="2026-02-25T09:49:09"/>
        <d v="2026-03-25T09:49:09"/>
        <d v="2025-11-03T09:49:09"/>
        <d v="2025-11-10T09:49:09"/>
        <d v="2025-10-18T09:49:09"/>
        <d v="2026-03-14T09:49:09"/>
        <d v="2026-04-10T09:49:09"/>
        <d v="2026-06-05T09:49:09"/>
        <d v="2025-12-30T09:49:09"/>
        <d v="2026-07-16T09:49:09"/>
        <d v="2025-12-10T09:49:09"/>
        <d v="2025-11-19T09:49:09"/>
        <d v="2026-02-16T09:49:09"/>
        <d v="2026-01-21T09:49:09"/>
        <d v="2026-07-18T09:49:09"/>
        <d v="2026-02-10T09:49:09"/>
        <d v="2026-09-18T09:49:09"/>
        <d v="2026-05-18T09:49:09"/>
        <d v="2026-02-03T09:49:09"/>
        <d v="2026-01-29T09:49:09"/>
        <d v="2026-05-26T09:49:09"/>
        <d v="2026-06-21T09:49:09"/>
        <d v="2026-04-21T09:49:09"/>
        <d v="2026-02-19T09:49:09"/>
        <d v="2026-08-19T09:49:09"/>
        <d v="2026-03-19T09:49:09"/>
        <d v="2026-05-27T09:49:09"/>
        <d v="2026-08-16T09:49:09"/>
        <d v="2026-04-03T09:49:09"/>
        <d v="2026-01-26T09:49:09"/>
        <d v="2026-07-27T09:49:09"/>
        <d v="2026-02-12T09:49:09"/>
        <d v="2026-05-13T09:49:09"/>
        <d v="2026-09-13T09:49:09"/>
        <d v="2026-05-17T09:49:09"/>
        <d v="2026-02-08T09:49:09"/>
        <d v="2026-06-09T09:49:09"/>
        <d v="2026-08-25T09:49:09"/>
        <d v="2026-04-26T09:49:09"/>
        <d v="2026-04-07T09:49:09"/>
        <d v="2026-02-05T09:49:09"/>
        <d v="2026-08-26T09:49:09"/>
        <d v="2026-01-11T09:49:09"/>
        <d v="2026-06-02T09:49:09"/>
        <d v="2026-02-26T09:49:09"/>
        <d v="2026-01-10T09:49:09"/>
        <d v="2026-02-06T09:49:09"/>
        <d v="2026-08-27T09:49:09"/>
        <d v="2026-03-02T09:49:09"/>
        <d v="2026-03-01T09:49:09"/>
        <d v="2026-04-22T09:49:09"/>
        <d v="2026-08-09T09:49:09"/>
        <d v="2025-11-13T09:49:09"/>
        <d v="2026-06-29T09:49:09"/>
        <d v="2026-03-05T09:49:09"/>
        <d v="2026-07-30T09:49:09"/>
        <d v="2026-06-25T09:49:09"/>
        <d v="2026-01-25T09:49:09"/>
        <d v="2025-12-04T09:49:09"/>
        <d v="2026-06-16T09:49:09"/>
        <d v="2026-02-22T09:49:09"/>
        <d v="2025-11-11T09:49:09"/>
        <d v="2026-02-02T09:49:09"/>
        <d v="2025-12-19T09:49:09"/>
        <d v="2026-01-17T09:49:09"/>
        <d v="2026-03-07T09:49:09"/>
        <d v="2026-04-17T09:49:09"/>
        <d v="2026-03-23T09:49:09"/>
        <d v="2025-12-12T09:49:09"/>
        <d v="2026-04-18T09:49:09"/>
        <d v="2026-03-30T09:49:09"/>
        <d v="2026-05-31T09:49:09"/>
        <d v="2026-03-12T09:49:09"/>
        <d v="2025-11-12T09:49:09"/>
        <d v="2026-05-23T09:49:09"/>
        <d v="2026-10-05T09:49:09"/>
        <d v="2025-11-01T09:49:09"/>
        <d v="2026-05-19T09:49:09"/>
        <d v="2026-08-18T09:49:09"/>
        <d v="2025-10-09T09:49:09"/>
        <d v="2025-10-22T09:49:09"/>
        <d v="2025-11-20T09:49:09"/>
        <d v="2025-10-11T09:49:09"/>
        <d v="2026-08-03T09:49:09"/>
        <d v="2026-04-04T09:49:09"/>
        <d v="2026-01-08T09:49:09"/>
        <d v="2026-06-18T09:49:09"/>
        <d v="2026-08-24T09:49:09"/>
        <d v="2025-10-23T09:49:09"/>
        <d v="2026-07-13T09:49:09"/>
        <d v="2026-05-16T09:49:09"/>
        <d v="2025-12-02T09:49:09"/>
        <d v="2026-03-28T09:49:09"/>
        <d v="2026-01-27T09:49:09"/>
        <d v="2026-07-20T09:49:09"/>
        <d v="2026-09-12T09:49:09"/>
        <d v="2026-02-09T09:49:09"/>
        <d v="2026-03-09T09:49:09"/>
        <d v="2026-07-05T09:49:09"/>
        <d v="2026-07-31T09:49:09"/>
        <d v="2026-06-08T09:49:09"/>
        <d v="2025-10-31T09:49:09"/>
        <d v="2026-09-25T09:49:09"/>
        <d v="2026-08-07T09:49:09"/>
        <d v="2026-08-14T09:49:09"/>
        <d v="2026-03-27T09:49:09"/>
        <d v="2025-10-25T09:49:09"/>
        <d v="2026-08-22T09:49:09"/>
        <d v="2026-02-24T09:49:09"/>
        <d v="2026-09-24T09:49:09"/>
        <d v="2026-08-23T09:49:09"/>
        <d v="2026-04-09T09:49:09"/>
        <d v="2026-02-07T09:49:09"/>
        <d v="2026-08-06T09:49:09"/>
        <d v="2026-04-19T09:49:09"/>
        <d v="2026-06-24T09:49:09"/>
        <d v="2026-09-20T09:49:09"/>
        <d v="2025-11-21T09:49:09"/>
        <d v="2026-08-12T09:49:09"/>
        <d v="2026-07-01T09:49:09"/>
        <d v="2026-02-27T09:49:09"/>
        <d v="2026-08-20T09:49:09"/>
        <d v="2026-07-07T09:49:09"/>
        <d v="2026-05-22T09:49:09"/>
        <d v="2026-01-30T09:49:09"/>
        <d v="2026-07-11T09:49:09"/>
        <d v="2025-10-06T09:49:09"/>
        <d v="2026-06-01T09:49:09"/>
        <d v="2026-07-22T09:49:09"/>
        <d v="2026-01-31T09:49:09"/>
        <d v="2026-07-04T09:49:09"/>
        <d v="2025-12-13T09:49:09"/>
        <d v="2026-07-10T09:49:09"/>
        <d v="2025-12-20T09:49:09"/>
        <d v="2026-03-08T09:49:09"/>
        <d v="2026-04-08T09:49:09"/>
        <d v="2026-07-17T09:49:09"/>
        <d v="2026-01-07T09:49:09"/>
        <d v="2026-04-27T09:49:09"/>
        <d v="2026-09-11T09:49:09"/>
        <d v="2026-09-27T09:49:09"/>
        <d v="2025-10-28T09:49:09"/>
        <d v="2026-06-12T09:49:09"/>
        <d v="2025-10-15T09:49:09"/>
        <d v="2025-10-21T09:49:09"/>
        <d v="2026-09-06T09:49:09"/>
        <d v="2026-04-01T09:49:09"/>
        <d v="2026-03-22T09:49:09"/>
        <d v="2026-08-31T09:49:09"/>
        <d v="2025-11-17T09:49:09"/>
        <d v="2025-10-17T09:49:09"/>
        <d v="2026-09-07T09:49:09"/>
        <d v="2026-01-03T09:49:09"/>
        <d v="2026-01-06T09:49:09"/>
        <d v="2026-01-28T09:49:09"/>
        <d v="2026-01-18T09:49:09"/>
        <d v="2026-06-11T09:49:09"/>
        <d v="2026-03-18T09:49:09"/>
        <d v="2026-03-31T09:49:09"/>
        <d v="2026-04-06T09:49:09"/>
        <d v="2026-10-01T09:49:09"/>
        <d v="2025-12-28T09:49:09"/>
        <d v="2025-10-24T09:49:09"/>
        <d v="2026-09-09T09:49:09"/>
        <d v="2025-10-30T09:49:09"/>
        <d v="2025-12-01T09:49:09"/>
        <d v="2026-01-22T09:49:09"/>
        <d v="2026-02-15T09:49:09"/>
        <d v="2026-05-14T09:49:09"/>
        <d v="2026-05-28T09:49:09"/>
        <d v="2026-02-28T09:49:09"/>
        <d v="2025-12-18T09:49:09"/>
        <d v="2025-10-12T09:49:09"/>
        <d v="2026-02-23T09:49:09"/>
        <d v="2026-02-14T09:49:09"/>
        <d v="2026-07-24T09:49:09"/>
        <d v="2025-12-14T09:49:09"/>
        <d v="2026-04-05T09:49:09"/>
        <d v="2026-01-04T09:49:09"/>
        <d v="2026-08-13T09:49:09"/>
        <d v="2026-08-04T09:49:09"/>
        <d v="2026-03-03T09:49:09"/>
        <d v="2025-12-24T09:49:09"/>
        <d v="2026-09-28T09:49:09"/>
        <d v="2026-03-10T09:49:09"/>
        <d v="2025-10-13T09:49:09"/>
        <d v="2026-05-21T09:49:09"/>
        <d v="2026-05-05T09:49:09"/>
        <d v="2025-12-26T09:49:09"/>
        <d v="2026-04-20T09:49:09"/>
        <d v="2026-06-13T09:49:09"/>
        <d v="2026-02-01T09:49:09"/>
        <d v="2026-07-14T09:49:09"/>
        <d v="2025-12-27T09:49:09"/>
        <d v="2025-12-29T09:49:09"/>
        <d v="2025-12-22T09:49:09"/>
        <d v="2026-04-28T09:49:09"/>
        <d v="2025-11-08T09:49:09"/>
        <d v="2026-09-05T09:49:09"/>
        <d v="2026-09-17T09:49:09"/>
        <d v="2026-03-20T09:49:09"/>
        <d v="2025-11-04T09:49:09"/>
        <d v="2026-02-20T09:49:09"/>
        <d v="2026-01-24T09:49:09"/>
        <d v="2025-12-05T09:49:09"/>
        <d v="2025-12-17T09:49:09"/>
        <d v="2025-11-30T09:49:09"/>
        <d v="2025-10-08T09:49:09"/>
        <d v="2026-10-03T09:49:09"/>
        <d v="2026-08-01T09:49:09"/>
        <d v="2025-12-11T09:49:09"/>
        <d v="2025-11-05T09:49:09"/>
        <d v="2025-11-14T09:49:09"/>
        <d v="2026-09-26T09:49:09"/>
        <d v="2026-09-03T09:49:09"/>
      </sharedItems>
    </cacheField>
    <cacheField name="ProductType" numFmtId="0">
      <sharedItems count="6">
        <s v="Canvas Print"/>
        <s v="Poster"/>
        <s v="Business Card"/>
        <s v="Flyer"/>
        <s v="Photo Book"/>
        <s v="Greeting Card"/>
      </sharedItems>
    </cacheField>
    <cacheField name="OrderValue" numFmtId="0">
      <sharedItems containsSemiMixedTypes="0" containsString="0" containsNumber="1" minValue="4.01" maxValue="48" count="802">
        <n v="45.41"/>
        <n v="13.71"/>
        <n v="11.66"/>
        <n v="9.07"/>
        <n v="11.16"/>
        <n v="15.44"/>
        <n v="12.76"/>
        <n v="13.51"/>
        <n v="35.520000000000003"/>
        <n v="24.88"/>
        <n v="10.95"/>
        <n v="40.4"/>
        <n v="20.329999999999998"/>
        <n v="45.9"/>
        <n v="9.91"/>
        <n v="11.82"/>
        <n v="12.15"/>
        <n v="16.170000000000002"/>
        <n v="20.82"/>
        <n v="5.82"/>
        <n v="11.83"/>
        <n v="21.38"/>
        <n v="4.68"/>
        <n v="34.64"/>
        <n v="10.42"/>
        <n v="47.17"/>
        <n v="9.7799999999999994"/>
        <n v="13.39"/>
        <n v="5.28"/>
        <n v="10.71"/>
        <n v="12.79"/>
        <n v="4.47"/>
        <n v="27.87"/>
        <n v="17.82"/>
        <n v="13.58"/>
        <n v="22.72"/>
        <n v="11.87"/>
        <n v="17.899999999999999"/>
        <n v="4.54"/>
        <n v="9.6300000000000008"/>
        <n v="17.350000000000001"/>
        <n v="4.01"/>
        <n v="32.64"/>
        <n v="5.21"/>
        <n v="11.63"/>
        <n v="4.4800000000000004"/>
        <n v="24.7"/>
        <n v="9.8000000000000007"/>
        <n v="41.96"/>
        <n v="11.75"/>
        <n v="4.95"/>
        <n v="10.36"/>
        <n v="40.590000000000003"/>
        <n v="28.54"/>
        <n v="9.84"/>
        <n v="13.6"/>
        <n v="45.5"/>
        <n v="4.57"/>
        <n v="39.409999999999997"/>
        <n v="11.7"/>
        <n v="13.31"/>
        <n v="23.97"/>
        <n v="32.71"/>
        <n v="10.93"/>
        <n v="5.63"/>
        <n v="10.97"/>
        <n v="5.64"/>
        <n v="40.51"/>
        <n v="5.76"/>
        <n v="10.3"/>
        <n v="8.1199999999999992"/>
        <n v="10.7"/>
        <n v="12.27"/>
        <n v="39.21"/>
        <n v="14.06"/>
        <n v="10.39"/>
        <n v="14.34"/>
        <n v="5.46"/>
        <n v="17.29"/>
        <n v="5.34"/>
        <n v="4.5199999999999996"/>
        <n v="26.75"/>
        <n v="11.02"/>
        <n v="10.87"/>
        <n v="5.91"/>
        <n v="27.21"/>
        <n v="13.74"/>
        <n v="8.01"/>
        <n v="5.44"/>
        <n v="5.66"/>
        <n v="12.24"/>
        <n v="17.23"/>
        <n v="10.83"/>
        <n v="10.66"/>
        <n v="5.6"/>
        <n v="12.78"/>
        <n v="10.039999999999999"/>
        <n v="41.54"/>
        <n v="15.3"/>
        <n v="11.6"/>
        <n v="4.8099999999999996"/>
        <n v="11.14"/>
        <n v="5.5"/>
        <n v="38.6"/>
        <n v="10.58"/>
        <n v="12.7"/>
        <n v="5.78"/>
        <n v="15.59"/>
        <n v="40.03"/>
        <n v="8.56"/>
        <n v="33.85"/>
        <n v="12.93"/>
        <n v="8.69"/>
        <n v="42.21"/>
        <n v="27.41"/>
        <n v="15.18"/>
        <n v="16.97"/>
        <n v="17.95"/>
        <n v="28.2"/>
        <n v="26.95"/>
        <n v="5.0599999999999996"/>
        <n v="33.35"/>
        <n v="4.8"/>
        <n v="46.56"/>
        <n v="13.48"/>
        <n v="22.16"/>
        <n v="11.84"/>
        <n v="28.17"/>
        <n v="9.92"/>
        <n v="4.7699999999999996"/>
        <n v="11.41"/>
        <n v="33.24"/>
        <n v="5.09"/>
        <n v="17.170000000000002"/>
        <n v="41.44"/>
        <n v="10.69"/>
        <n v="38.15"/>
        <n v="25.79"/>
        <n v="13.24"/>
        <n v="33.58"/>
        <n v="13.87"/>
        <n v="9.66"/>
        <n v="11.38"/>
        <n v="20.27"/>
        <n v="4.79"/>
        <n v="12.12"/>
        <n v="15.07"/>
        <n v="8.66"/>
        <n v="26.46"/>
        <n v="32.72"/>
        <n v="27.62"/>
        <n v="47.15"/>
        <n v="23.4"/>
        <n v="40.28"/>
        <n v="11.42"/>
        <n v="38.17"/>
        <n v="44.67"/>
        <n v="15.58"/>
        <n v="33.619999999999997"/>
        <n v="17.079999999999998"/>
        <n v="10.119999999999999"/>
        <n v="13.64"/>
        <n v="15.48"/>
        <n v="5.12"/>
        <n v="10.11"/>
        <n v="13"/>
        <n v="14.27"/>
        <n v="14.29"/>
        <n v="10.130000000000001"/>
        <n v="4.2699999999999996"/>
        <n v="20.99"/>
        <n v="22.09"/>
        <n v="17.55"/>
        <n v="11.59"/>
        <n v="14.37"/>
        <n v="9.25"/>
        <n v="8.59"/>
        <n v="39.81"/>
        <n v="8.52"/>
        <n v="45.37"/>
        <n v="4.74"/>
        <n v="14.25"/>
        <n v="5.99"/>
        <n v="4.18"/>
        <n v="10.43"/>
        <n v="10.33"/>
        <n v="4.0599999999999996"/>
        <n v="47.53"/>
        <n v="11.09"/>
        <n v="5.96"/>
        <n v="11.89"/>
        <n v="21.68"/>
        <n v="10.79"/>
        <n v="45.42"/>
        <n v="4.71"/>
        <n v="28.27"/>
        <n v="27.09"/>
        <n v="8.7100000000000009"/>
        <n v="25.07"/>
        <n v="42.84"/>
        <n v="35.76"/>
        <n v="16.98"/>
        <n v="40.72"/>
        <n v="25.83"/>
        <n v="48"/>
        <n v="8.6"/>
        <n v="16.899999999999999"/>
        <n v="22.07"/>
        <n v="16.690000000000001"/>
        <n v="27.35"/>
        <n v="9.1999999999999993"/>
        <n v="13.95"/>
        <n v="5.59"/>
        <n v="11.81"/>
        <n v="13.11"/>
        <n v="21.48"/>
        <n v="5.71"/>
        <n v="16.27"/>
        <n v="5.81"/>
        <n v="4.26"/>
        <n v="15.56"/>
        <n v="10.4"/>
        <n v="4.92"/>
        <n v="8.15"/>
        <n v="5.49"/>
        <n v="5.0999999999999996"/>
        <n v="4.12"/>
        <n v="12.87"/>
        <n v="39.47"/>
        <n v="8.14"/>
        <n v="5.94"/>
        <n v="14.16"/>
        <n v="10.050000000000001"/>
        <n v="20.94"/>
        <n v="27.55"/>
        <n v="4.9800000000000004"/>
        <n v="11.05"/>
        <n v="11.96"/>
        <n v="10.09"/>
        <n v="10.25"/>
        <n v="11.72"/>
        <n v="14.01"/>
        <n v="37.799999999999997"/>
        <n v="13.08"/>
        <n v="28.94"/>
        <n v="9.82"/>
        <n v="11.73"/>
        <n v="12.49"/>
        <n v="10.37"/>
        <n v="44.91"/>
        <n v="39.619999999999997"/>
        <n v="11.98"/>
        <n v="12.36"/>
        <n v="10.56"/>
        <n v="36.770000000000003"/>
        <n v="35.85"/>
        <n v="9.02"/>
        <n v="47.54"/>
        <n v="8.8800000000000008"/>
        <n v="10.94"/>
        <n v="5.53"/>
        <n v="17.579999999999998"/>
        <n v="20.309999999999999"/>
        <n v="5.05"/>
        <n v="26.33"/>
        <n v="9.33"/>
        <n v="43.73"/>
        <n v="12.14"/>
        <n v="47.85"/>
        <n v="4.4000000000000004"/>
        <n v="33.44"/>
        <n v="20.02"/>
        <n v="12.26"/>
        <n v="9.3699999999999992"/>
        <n v="5.27"/>
        <n v="8.2799999999999994"/>
        <n v="46.99"/>
        <n v="11.29"/>
        <n v="44.95"/>
        <n v="11.54"/>
        <n v="16.2"/>
        <n v="12.63"/>
        <n v="14.39"/>
        <n v="16.34"/>
        <n v="13.68"/>
        <n v="16.12"/>
        <n v="32.39"/>
        <n v="4.6100000000000003"/>
        <n v="10.199999999999999"/>
        <n v="15.79"/>
        <n v="41.23"/>
        <n v="43.16"/>
        <n v="32.1"/>
        <n v="4.2"/>
        <n v="11.48"/>
        <n v="5.36"/>
        <n v="21.13"/>
        <n v="45.47"/>
        <n v="22.42"/>
        <n v="11.9"/>
        <n v="16.260000000000002"/>
        <n v="5.33"/>
        <n v="8.84"/>
        <n v="28.63"/>
        <n v="9.61"/>
        <n v="4.59"/>
        <n v="12.91"/>
        <n v="9.06"/>
        <n v="8.09"/>
        <n v="15.5"/>
        <n v="28.42"/>
        <n v="15.29"/>
        <n v="20.34"/>
        <n v="22.15"/>
        <n v="14.5"/>
        <n v="11.04"/>
        <n v="4.38"/>
        <n v="10.88"/>
        <n v="45.87"/>
        <n v="11.78"/>
        <n v="25.55"/>
        <n v="25.26"/>
        <n v="24.63"/>
        <n v="23.03"/>
        <n v="22.9"/>
        <n v="41.01"/>
        <n v="8.48"/>
        <n v="11.67"/>
        <n v="13.06"/>
        <n v="11.53"/>
        <n v="34.54"/>
        <n v="13.83"/>
        <n v="5.65"/>
        <n v="16.329999999999998"/>
        <n v="13.63"/>
        <n v="14.41"/>
        <n v="33.64"/>
        <n v="35.020000000000003"/>
        <n v="27.83"/>
        <n v="16.29"/>
        <n v="5.19"/>
        <n v="13.9"/>
        <n v="5.17"/>
        <n v="14.04"/>
        <n v="17.64"/>
        <n v="12.5"/>
        <n v="46.89"/>
        <n v="13.57"/>
        <n v="34.08"/>
        <n v="41.04"/>
        <n v="11.47"/>
        <n v="5.14"/>
        <n v="29.43"/>
        <n v="38.76"/>
        <n v="4.2300000000000004"/>
        <n v="32.68"/>
        <n v="25.65"/>
        <n v="46.88"/>
        <n v="17.07"/>
        <n v="42.81"/>
        <n v="12.83"/>
        <n v="13.53"/>
        <n v="28.76"/>
        <n v="10.48"/>
        <n v="4.5599999999999996"/>
        <n v="34.07"/>
        <n v="16.059999999999999"/>
        <n v="47.1"/>
        <n v="10.89"/>
        <n v="12.64"/>
        <n v="6"/>
        <n v="8.42"/>
        <n v="5"/>
        <n v="23.85"/>
        <n v="13.76"/>
        <n v="14.86"/>
        <n v="8.44"/>
        <n v="26.34"/>
        <n v="44.33"/>
        <n v="17.149999999999999"/>
        <n v="4.37"/>
        <n v="15.31"/>
        <n v="38.65"/>
        <n v="9.48"/>
        <n v="13.77"/>
        <n v="10.92"/>
        <n v="12.71"/>
        <n v="13.42"/>
        <n v="13.22"/>
        <n v="4.07"/>
        <n v="23.95"/>
        <n v="14.07"/>
        <n v="27.37"/>
        <n v="17.850000000000001"/>
        <n v="9.85"/>
        <n v="9.8699999999999992"/>
        <n v="10.32"/>
        <n v="33.369999999999997"/>
        <n v="32.69"/>
        <n v="10.67"/>
        <n v="5.56"/>
        <n v="25.44"/>
        <n v="33.6"/>
        <n v="26.88"/>
        <n v="11.64"/>
        <n v="13.62"/>
        <n v="11.8"/>
        <n v="8.1300000000000008"/>
        <n v="16.420000000000002"/>
        <n v="23.3"/>
        <n v="22.67"/>
        <n v="10.9"/>
        <n v="13.81"/>
        <n v="4.08"/>
        <n v="39.28"/>
        <n v="36.28"/>
        <n v="13.32"/>
        <n v="11.43"/>
        <n v="25.75"/>
        <n v="12.46"/>
        <n v="23.68"/>
        <n v="34.909999999999997"/>
        <n v="38.97"/>
        <n v="23.32"/>
        <n v="14.05"/>
        <n v="43.82"/>
        <n v="8.89"/>
        <n v="12.68"/>
        <n v="25.71"/>
        <n v="25.68"/>
        <n v="42.61"/>
        <n v="11.52"/>
        <n v="16.05"/>
        <n v="12.51"/>
        <n v="36.659999999999997"/>
        <n v="35.31"/>
        <n v="34.44"/>
        <n v="13.92"/>
        <n v="5.42"/>
        <n v="17.62"/>
        <n v="42.75"/>
        <n v="17.940000000000001"/>
        <n v="25.31"/>
        <n v="26.51"/>
        <n v="12.69"/>
        <n v="25.61"/>
        <n v="11.11"/>
        <n v="35.28"/>
        <n v="5.45"/>
        <n v="5.79"/>
        <n v="5.69"/>
        <n v="37.04"/>
        <n v="29.82"/>
        <n v="40.44"/>
        <n v="10.57"/>
        <n v="13.49"/>
        <n v="11.79"/>
        <n v="37.4"/>
        <n v="12.19"/>
        <n v="5.38"/>
        <n v="16.14"/>
        <n v="4.99"/>
        <n v="13.38"/>
        <n v="4.09"/>
        <n v="27.61"/>
        <n v="9.42"/>
        <n v="47.19"/>
        <n v="5.92"/>
        <n v="5.24"/>
        <n v="44.17"/>
        <n v="12.22"/>
        <n v="34.880000000000003"/>
        <n v="24.59"/>
        <n v="5.73"/>
        <n v="24.81"/>
        <n v="17.39"/>
        <n v="12.84"/>
        <n v="21.37"/>
        <n v="14.38"/>
        <n v="4.78"/>
        <n v="33.74"/>
        <n v="12.66"/>
        <n v="9.99"/>
        <n v="29.53"/>
        <n v="4.4400000000000004"/>
        <n v="17.52"/>
        <n v="35.42"/>
        <n v="4.03"/>
        <n v="12.09"/>
        <n v="28.29"/>
        <n v="23.55"/>
        <n v="26.98"/>
        <n v="14.24"/>
        <n v="9.57"/>
        <n v="17.13"/>
        <n v="16.64"/>
        <n v="4.46"/>
        <n v="27.81"/>
        <n v="14.21"/>
        <n v="13.27"/>
        <n v="26.03"/>
        <n v="17.010000000000002"/>
        <n v="44.55"/>
        <n v="9.51"/>
        <n v="5.61"/>
        <n v="8.18"/>
        <n v="44.93"/>
        <n v="34.85"/>
        <n v="25.15"/>
        <n v="11.23"/>
        <n v="22.54"/>
        <n v="13.47"/>
        <n v="13.89"/>
        <n v="9.6"/>
        <n v="11.61"/>
        <n v="10.34"/>
        <n v="29.55"/>
        <n v="9.98"/>
        <n v="25.13"/>
        <n v="9.93"/>
        <n v="26.35"/>
        <n v="33.450000000000003"/>
        <n v="9.8800000000000008"/>
        <n v="39.11"/>
        <n v="22.76"/>
        <n v="10.49"/>
        <n v="11.97"/>
        <n v="9.5500000000000007"/>
        <n v="5.15"/>
        <n v="14.49"/>
        <n v="11.39"/>
        <n v="46.44"/>
        <n v="11.51"/>
        <n v="5.95"/>
        <n v="9.73"/>
        <n v="45.44"/>
        <n v="47.3"/>
        <n v="16.079999999999998"/>
        <n v="13.35"/>
        <n v="4.8600000000000003"/>
        <n v="13.05"/>
        <n v="15.38"/>
        <n v="11.65"/>
        <n v="11.17"/>
        <n v="5.68"/>
        <n v="4.29"/>
        <n v="17.420000000000002"/>
        <n v="35.270000000000003"/>
        <n v="11.35"/>
        <n v="36.72"/>
        <n v="13.82"/>
        <n v="39.36"/>
        <n v="12.57"/>
        <n v="11.31"/>
        <n v="9.83"/>
        <n v="9.41"/>
        <n v="25.16"/>
        <n v="4.93"/>
        <n v="32.729999999999997"/>
        <n v="36.64"/>
        <n v="29.31"/>
        <n v="14.35"/>
        <n v="10.19"/>
        <n v="41.45"/>
        <n v="12.37"/>
        <n v="23.62"/>
        <n v="13.07"/>
        <n v="35.21"/>
        <n v="22.04"/>
        <n v="4.0199999999999996"/>
        <n v="9.75"/>
        <n v="46.12"/>
        <n v="32.83"/>
        <n v="16.39"/>
        <n v="38.659999999999997"/>
        <n v="41.75"/>
        <n v="11.58"/>
        <n v="28.18"/>
        <n v="36.049999999999997"/>
        <n v="9.09"/>
        <n v="12.75"/>
        <n v="23.37"/>
        <n v="30"/>
        <n v="14.43"/>
        <n v="5.52"/>
        <n v="15.25"/>
        <n v="14.28"/>
        <n v="44.06"/>
        <n v="8.08"/>
        <n v="13.61"/>
        <n v="12.62"/>
        <n v="14.89"/>
        <n v="14.17"/>
        <n v="10.53"/>
        <n v="44.49"/>
        <n v="27.08"/>
        <n v="13.03"/>
        <n v="14.69"/>
        <n v="12.95"/>
        <n v="10.07"/>
        <n v="13.46"/>
        <n v="34"/>
        <n v="17.100000000000001"/>
        <n v="37.51"/>
        <n v="8.2100000000000009"/>
        <n v="34.270000000000003"/>
        <n v="10.62"/>
        <n v="15.99"/>
        <n v="34.520000000000003"/>
        <n v="33.9"/>
        <n v="44.24"/>
        <n v="26.71"/>
        <n v="9.74"/>
        <n v="4.62"/>
        <n v="11.92"/>
        <n v="5.01"/>
        <n v="23.87"/>
        <n v="46.51"/>
        <n v="20.16"/>
        <n v="27.82"/>
        <n v="11.19"/>
        <n v="5.23"/>
        <n v="45.49"/>
        <n v="12.28"/>
        <n v="12.99"/>
        <n v="10.14"/>
        <n v="12.2"/>
        <n v="11.91"/>
        <n v="21.18"/>
        <n v="11.85"/>
        <n v="47.24"/>
        <n v="4.45"/>
        <n v="46.07"/>
        <n v="16.850000000000001"/>
        <n v="42.83"/>
        <n v="15.75"/>
        <n v="11.12"/>
        <n v="28.16"/>
        <n v="12.43"/>
        <n v="37.01"/>
        <n v="5.87"/>
        <n v="28.51"/>
        <n v="14.31"/>
        <n v="5.26"/>
        <n v="21.63"/>
        <n v="34.99"/>
        <n v="20.2"/>
        <n v="23.91"/>
        <n v="8.77"/>
        <n v="24.12"/>
        <n v="29.35"/>
        <n v="46.05"/>
        <n v="4.49"/>
        <n v="14.14"/>
        <n v="4.17"/>
        <n v="10.59"/>
        <n v="38.1"/>
        <n v="47.71"/>
        <n v="5.57"/>
        <n v="5.47"/>
        <n v="10.16"/>
        <n v="44.56"/>
        <n v="26.01"/>
        <n v="23.25"/>
        <n v="29.41"/>
        <n v="46.64"/>
        <n v="20.11"/>
        <n v="11.76"/>
        <n v="17.86"/>
        <n v="4.21"/>
        <n v="5.1100000000000003"/>
        <n v="21.9"/>
        <n v="4.41"/>
        <n v="9.9600000000000009"/>
        <n v="12.08"/>
        <n v="27.4"/>
        <n v="15.78"/>
        <n v="26.9"/>
        <n v="10.29"/>
        <n v="15.57"/>
        <n v="8.27"/>
        <n v="10.78"/>
        <n v="39.33"/>
        <n v="43.26"/>
        <n v="23.73"/>
        <n v="25.64"/>
        <n v="16.03"/>
        <n v="25.84"/>
        <n v="15.15"/>
        <n v="4.5"/>
        <n v="12.01"/>
        <n v="4.3499999999999996"/>
        <n v="33.869999999999997"/>
        <n v="39.19"/>
        <n v="12.54"/>
        <n v="20.07"/>
        <n v="5.25"/>
        <n v="9.49"/>
        <n v="12.3"/>
        <n v="11.45"/>
        <n v="46.98"/>
        <n v="29.4"/>
        <n v="15.7"/>
        <n v="27.39"/>
        <n v="35.43"/>
        <n v="16.46"/>
        <n v="9.31"/>
        <n v="46.24"/>
        <n v="10"/>
        <n v="28.07"/>
        <n v="5.72"/>
        <n v="12.06"/>
        <n v="39.01"/>
        <n v="11.99"/>
        <n v="40.75"/>
        <n v="12.82"/>
        <n v="16.21"/>
        <n v="8.82"/>
        <n v="26.54"/>
        <n v="32.799999999999997"/>
        <n v="17.47"/>
        <n v="20.3"/>
        <n v="37.700000000000003"/>
        <n v="32.25"/>
        <n v="20.77"/>
        <n v="11.3"/>
        <n v="14.55"/>
        <n v="8.86"/>
        <n v="25.95"/>
        <n v="23.33"/>
        <n v="28.85"/>
        <n v="14.3"/>
        <n v="9.1300000000000008"/>
        <n v="44.59"/>
        <n v="38.36"/>
        <n v="25.14"/>
        <n v="4.51"/>
        <n v="13.75"/>
        <n v="5.54"/>
        <n v="4.8499999999999996"/>
        <n v="28"/>
        <n v="4.67"/>
        <n v="45.84"/>
        <n v="17.489999999999998"/>
        <n v="13.73"/>
        <n v="14.47"/>
        <n v="11.49"/>
        <n v="10.55"/>
        <n v="12.17"/>
        <n v="14.52"/>
        <n v="15"/>
        <n v="27.85"/>
        <n v="5.2"/>
        <n v="8.8000000000000007"/>
        <n v="24.08"/>
        <n v="14.82"/>
        <n v="22.1"/>
        <n v="22.81"/>
        <n v="27.13"/>
        <n v="38.54"/>
        <n v="11.77"/>
        <n v="13.18"/>
        <n v="28.26"/>
        <n v="11.74"/>
        <n v="20.079999999999998"/>
        <n v="5.85"/>
        <n v="14.66"/>
        <n v="15.32"/>
        <n v="10.82"/>
        <n v="43.88"/>
        <n v="9.9700000000000006"/>
        <n v="13.79"/>
        <n v="27.86"/>
        <n v="26.32"/>
        <n v="37.979999999999997"/>
        <n v="22.71"/>
        <n v="4.6399999999999997"/>
        <n v="8.31"/>
        <n v="14.09"/>
        <n v="25.22"/>
        <n v="17.309999999999999"/>
        <n v="4.6900000000000004"/>
        <n v="24.62"/>
        <n v="4.83"/>
        <n v="9.64"/>
        <n v="11.95"/>
        <n v="14.58"/>
        <n v="16.440000000000001"/>
        <n v="15.19"/>
        <n v="22.97"/>
        <n v="10.17"/>
        <n v="23.45"/>
        <n v="27.32"/>
        <n v="10.18"/>
        <n v="15.81"/>
        <n v="5.16"/>
        <n v="4.42"/>
        <n v="34.67"/>
        <n v="11.21"/>
        <n v="13.2"/>
        <n v="15.43"/>
        <n v="11.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OOMS-user" refreshedDate="46301.449328703697" createdVersion="5" refreshedVersion="5" minRefreshableVersion="3" recordCount="287" xr:uid="{00000000-000A-0000-FFFF-FFFF01000000}">
  <cacheSource type="worksheet">
    <worksheetSource ref="A1:I288" sheet="table"/>
  </cacheSource>
  <cacheFields count="9">
    <cacheField name="Customer_ID" numFmtId="0">
      <sharedItems count="287">
        <s v="CUST0001"/>
        <s v="CUST0002"/>
        <s v="CUST0003"/>
        <s v="CUST0004"/>
        <s v="CUST0005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4"/>
        <s v="CUST0085"/>
        <s v="CUST0086"/>
        <s v="CUST0087"/>
        <s v="CUST0088"/>
        <s v="CUST0089"/>
        <s v="CUST0090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6"/>
        <s v="CUST0137"/>
        <s v="CUST0138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9"/>
        <s v="CUST0250"/>
        <s v="CUST0251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</sharedItems>
    </cacheField>
    <cacheField name="Recency" numFmtId="166">
      <sharedItems containsSemiMixedTypes="0" containsString="0" containsNumber="1" minValue="0.59086805560218603" maxValue="360.59086805560202" count="158">
        <n v="30.590868055602201"/>
        <n v="0.59086805560218603"/>
        <n v="138.59086805560199"/>
        <n v="50.590868055602201"/>
        <n v="14.590868055602201"/>
        <n v="142.59086805560199"/>
        <n v="44.590868055602201"/>
        <n v="19.590868055602201"/>
        <n v="24.590868055602201"/>
        <n v="17.590868055602201"/>
        <n v="42.590868055602201"/>
        <n v="8.5908680556021899"/>
        <n v="67.590868055602201"/>
        <n v="113.590868055602"/>
        <n v="175.59086805560199"/>
        <n v="92.590868055602201"/>
        <n v="132.59086805560199"/>
        <n v="65.590868055602201"/>
        <n v="126.590868055602"/>
        <n v="91.590868055602201"/>
        <n v="73.590868055602201"/>
        <n v="40.590868055602201"/>
        <n v="129.59086805560199"/>
        <n v="114.590868055602"/>
        <n v="61.590868055602201"/>
        <n v="272.59086805560202"/>
        <n v="134.59086805560199"/>
        <n v="26.590868055602201"/>
        <n v="213.59086805560199"/>
        <n v="173.59086805560199"/>
        <n v="15.590868055602201"/>
        <n v="76.590868055602201"/>
        <n v="55.590868055602201"/>
        <n v="23.590868055602201"/>
        <n v="29.590868055602201"/>
        <n v="192.59086805560199"/>
        <n v="157.59086805560199"/>
        <n v="220.59086805560199"/>
        <n v="112.590868055602"/>
        <n v="80.590868055602201"/>
        <n v="118.590868055602"/>
        <n v="195.59086805560199"/>
        <n v="148.59086805560199"/>
        <n v="72.590868055602201"/>
        <n v="47.590868055602201"/>
        <n v="93.590868055602201"/>
        <n v="109.590868055602"/>
        <n v="25.590868055602201"/>
        <n v="135.59086805560199"/>
        <n v="211.59086805560199"/>
        <n v="122.590868055602"/>
        <n v="18.590868055602201"/>
        <n v="7.5908680556021899"/>
        <n v="252.59086805560199"/>
        <n v="147.59086805560199"/>
        <n v="56.590868055602201"/>
        <n v="71.590868055602201"/>
        <n v="6.5908680556021899"/>
        <n v="62.590868055602201"/>
        <n v="217.59086805560199"/>
        <n v="34.590868055602201"/>
        <n v="181.59086805560199"/>
        <n v="39.590868055602201"/>
        <n v="145.59086805560199"/>
        <n v="140.59086805560199"/>
        <n v="13.590868055602201"/>
        <n v="234.59086805560199"/>
        <n v="48.590868055602201"/>
        <n v="54.590868055602201"/>
        <n v="174.59086805560199"/>
        <n v="16.590868055602201"/>
        <n v="232.59086805560199"/>
        <n v="2.5908680556021899"/>
        <n v="329.59086805560202"/>
        <n v="265.59086805560202"/>
        <n v="35.590868055602201"/>
        <n v="328.59086805560202"/>
        <n v="5.5908680556021899"/>
        <n v="110.590868055602"/>
        <n v="85.590868055602201"/>
        <n v="98.590868055602201"/>
        <n v="81.590868055602201"/>
        <n v="53.590868055602201"/>
        <n v="116.590868055602"/>
        <n v="185.59086805560199"/>
        <n v="198.59086805560199"/>
        <n v="137.59086805560199"/>
        <n v="27.590868055602201"/>
        <n v="150.59086805560199"/>
        <n v="11.590868055602201"/>
        <n v="37.590868055602201"/>
        <n v="101.590868055602"/>
        <n v="176.59086805560199"/>
        <n v="207.59086805560199"/>
        <n v="10.590868055602201"/>
        <n v="49.590868055602201"/>
        <n v="83.590868055602201"/>
        <n v="123.590868055602"/>
        <n v="97.590868055602201"/>
        <n v="21.590868055602201"/>
        <n v="45.590868055602201"/>
        <n v="246.59086805560199"/>
        <n v="162.59086805560199"/>
        <n v="82.590868055602201"/>
        <n v="90.590868055602201"/>
        <n v="60.590868055602201"/>
        <n v="264.59086805560202"/>
        <n v="9.5908680556021899"/>
        <n v="214.59086805560199"/>
        <n v="100.590868055602"/>
        <n v="4.5908680556021899"/>
        <n v="247.59086805560199"/>
        <n v="322.59086805560202"/>
        <n v="77.590868055602201"/>
        <n v="38.590868055602201"/>
        <n v="94.590868055602201"/>
        <n v="36.590868055602201"/>
        <n v="182.59086805560199"/>
        <n v="108.590868055602"/>
        <n v="79.590868055602201"/>
        <n v="152.59086805560199"/>
        <n v="200.59086805560199"/>
        <n v="127.590868055602"/>
        <n v="257.59086805560202"/>
        <n v="171.59086805560199"/>
        <n v="63.590868055602201"/>
        <n v="46.590868055602201"/>
        <n v="222.59086805560199"/>
        <n v="125.590868055602"/>
        <n v="256.59086805560202"/>
        <n v="183.59086805560199"/>
        <n v="178.59086805560199"/>
        <n v="136.59086805560199"/>
        <n v="69.590868055602201"/>
        <n v="84.590868055602201"/>
        <n v="337.59086805560202"/>
        <n v="1.5908680556021899"/>
        <n v="52.590868055602201"/>
        <n v="59.590868055602201"/>
        <n v="64.590868055602201"/>
        <n v="141.59086805560199"/>
        <n v="88.590868055602201"/>
        <n v="28.590868055602201"/>
        <n v="168.59086805560199"/>
        <n v="186.59086805560199"/>
        <n v="163.59086805560199"/>
        <n v="229.59086805560199"/>
        <n v="106.590868055602"/>
        <n v="251.59086805560199"/>
        <n v="86.590868055602201"/>
        <n v="212.59086805560199"/>
        <n v="43.590868055602201"/>
        <n v="360.59086805560202"/>
        <n v="249.59086805560199"/>
        <n v="197.59086805560199"/>
        <n v="57.590868055602201"/>
        <n v="20.590868055602201"/>
        <n v="124.590868055602"/>
      </sharedItems>
    </cacheField>
    <cacheField name="Frequency" numFmtId="0">
      <sharedItems containsSemiMixedTypes="0" containsString="0" containsNumber="1" containsInteger="1" minValue="1" maxValue="12" count="10">
        <n v="5"/>
        <n v="4"/>
        <n v="6"/>
        <n v="9"/>
        <n v="2"/>
        <n v="3"/>
        <n v="1"/>
        <n v="8"/>
        <n v="7"/>
        <n v="12"/>
      </sharedItems>
    </cacheField>
    <cacheField name="Monetary" numFmtId="0">
      <sharedItems containsSemiMixedTypes="0" containsString="0" containsNumber="1" minValue="4.12" maxValue="190.97" count="283">
        <n v="64.5"/>
        <n v="53.9"/>
        <n v="75.75"/>
        <n v="123.07"/>
        <n v="63.34"/>
        <n v="104.63"/>
        <n v="106.62"/>
        <n v="139.02000000000001"/>
        <n v="35.17"/>
        <n v="128.11000000000001"/>
        <n v="187.09"/>
        <n v="30.9"/>
        <n v="132.01"/>
        <n v="58.19"/>
        <n v="39.26"/>
        <n v="90.01"/>
        <n v="68.16"/>
        <n v="50.73"/>
        <n v="52.31"/>
        <n v="57.05"/>
        <n v="50.93"/>
        <n v="62.49"/>
        <n v="16.66"/>
        <n v="109.94"/>
        <n v="95.76"/>
        <n v="70.66"/>
        <n v="4.8600000000000003"/>
        <n v="130.91999999999999"/>
        <n v="9.42"/>
        <n v="26.84"/>
        <n v="5.71"/>
        <n v="15.89"/>
        <n v="58.38"/>
        <n v="72.06"/>
        <n v="40.36"/>
        <n v="44.35"/>
        <n v="167.44"/>
        <n v="101.46"/>
        <n v="63.98"/>
        <n v="106.78"/>
        <n v="12.17"/>
        <n v="10.38"/>
        <n v="23.24"/>
        <n v="65.58"/>
        <n v="32.14"/>
        <n v="32.49"/>
        <n v="86.68"/>
        <n v="52.57"/>
        <n v="13.86"/>
        <n v="14.21"/>
        <n v="81.3"/>
        <n v="10.48"/>
        <n v="24.63"/>
        <n v="83.66"/>
        <n v="99.24"/>
        <n v="88.92"/>
        <n v="46.61"/>
        <n v="51.04"/>
        <n v="96.28"/>
        <n v="49.8"/>
        <n v="23.78"/>
        <n v="56.19"/>
        <n v="50.21"/>
        <n v="40.29"/>
        <n v="56.24"/>
        <n v="13.79"/>
        <n v="41.33"/>
        <n v="142.38"/>
        <n v="20.81"/>
        <n v="60.87"/>
        <n v="75.69"/>
        <n v="91.19"/>
        <n v="70.13"/>
        <n v="38.49"/>
        <n v="80.930000000000007"/>
        <n v="52.34"/>
        <n v="88.89"/>
        <n v="123.51"/>
        <n v="41.95"/>
        <n v="30.27"/>
        <n v="57.61"/>
        <n v="21.91"/>
        <n v="60.04"/>
        <n v="49.97"/>
        <n v="113.27"/>
        <n v="64.37"/>
        <n v="11.82"/>
        <n v="31.41"/>
        <n v="95.01"/>
        <n v="32.729999999999997"/>
        <n v="122.55"/>
        <n v="58.25"/>
        <n v="18.39"/>
        <n v="70.75"/>
        <n v="108.92"/>
        <n v="22.2"/>
        <n v="164.74"/>
        <n v="19.489999999999998"/>
        <n v="91.44"/>
        <n v="29.13"/>
        <n v="72.05"/>
        <n v="8.01"/>
        <n v="52.1"/>
        <n v="108.18"/>
        <n v="11.81"/>
        <n v="36.65"/>
        <n v="57.95"/>
        <n v="52.66"/>
        <n v="4.38"/>
        <n v="150.87"/>
        <n v="46.04"/>
        <n v="106.08"/>
        <n v="88.56"/>
        <n v="44.73"/>
        <n v="45.87"/>
        <n v="59.82"/>
        <n v="27.5"/>
        <n v="41.38"/>
        <n v="20.420000000000002"/>
        <n v="23.58"/>
        <n v="53.66"/>
        <n v="46.1"/>
        <n v="70.78"/>
        <n v="131.69"/>
        <n v="65.010000000000005"/>
        <n v="57.97"/>
        <n v="53.77"/>
        <n v="52.02"/>
        <n v="34.4"/>
        <n v="15.44"/>
        <n v="27.37"/>
        <n v="35.08"/>
        <n v="40.78"/>
        <n v="170.41"/>
        <n v="16.04"/>
        <n v="85.98"/>
        <n v="64.989999999999995"/>
        <n v="98.48"/>
        <n v="90.62"/>
        <n v="61.65"/>
        <n v="90.49"/>
        <n v="21.74"/>
        <n v="92.44"/>
        <n v="92.68"/>
        <n v="88.16"/>
        <n v="33.090000000000003"/>
        <n v="72.319999999999993"/>
        <n v="132.83000000000001"/>
        <n v="77.510000000000005"/>
        <n v="85.34"/>
        <n v="59.02"/>
        <n v="103.61"/>
        <n v="14.67"/>
        <n v="29.84"/>
        <n v="52.29"/>
        <n v="137.26"/>
        <n v="10.17"/>
        <n v="58.05"/>
        <n v="53.61"/>
        <n v="62.59"/>
        <n v="37.590000000000003"/>
        <n v="61.62"/>
        <n v="52.51"/>
        <n v="55.1"/>
        <n v="86.22"/>
        <n v="107.85"/>
        <n v="122.91"/>
        <n v="114.12"/>
        <n v="55.54"/>
        <n v="12.12"/>
        <n v="34.24"/>
        <n v="33.46"/>
        <n v="76.81"/>
        <n v="9.69"/>
        <n v="32.299999999999997"/>
        <n v="17.36"/>
        <n v="33.97"/>
        <n v="60.47"/>
        <n v="17.079999999999998"/>
        <n v="33.44"/>
        <n v="16.14"/>
        <n v="33.65"/>
        <n v="58.1"/>
        <n v="19.809999999999999"/>
        <n v="52.35"/>
        <n v="23.36"/>
        <n v="4.26"/>
        <n v="61.88"/>
        <n v="41.64"/>
        <n v="45.68"/>
        <n v="26.67"/>
        <n v="85.24"/>
        <n v="8.8000000000000007"/>
        <n v="20.82"/>
        <n v="5.19"/>
        <n v="63.08"/>
        <n v="22.57"/>
        <n v="61.43"/>
        <n v="41"/>
        <n v="47.96"/>
        <n v="21.21"/>
        <n v="40.74"/>
        <n v="29.38"/>
        <n v="123.08"/>
        <n v="158.80000000000001"/>
        <n v="33.950000000000003"/>
        <n v="59.46"/>
        <n v="47.76"/>
        <n v="73.260000000000005"/>
        <n v="30.95"/>
        <n v="30.69"/>
        <n v="61.24"/>
        <n v="116.16"/>
        <n v="24.72"/>
        <n v="108.13"/>
        <n v="126.89"/>
        <n v="37.58"/>
        <n v="70.73"/>
        <n v="55.25"/>
        <n v="9.94"/>
        <n v="61.04"/>
        <n v="22.16"/>
        <n v="54.57"/>
        <n v="92.73"/>
        <n v="34.880000000000003"/>
        <n v="85.9"/>
        <n v="12.43"/>
        <n v="51.7"/>
        <n v="97.14"/>
        <n v="101.22"/>
        <n v="33.43"/>
        <n v="70.489999999999995"/>
        <n v="37.869999999999997"/>
        <n v="11.96"/>
        <n v="49.29"/>
        <n v="47.45"/>
        <n v="123.67"/>
        <n v="21.06"/>
        <n v="11.89"/>
        <n v="4.12"/>
        <n v="84.58"/>
        <n v="12.22"/>
        <n v="59.36"/>
        <n v="33.6"/>
        <n v="60.89"/>
        <n v="121.51"/>
        <n v="57.67"/>
        <n v="126.84"/>
        <n v="50.75"/>
        <n v="37.729999999999997"/>
        <n v="140.88999999999999"/>
        <n v="80.47"/>
        <n v="70.959999999999994"/>
        <n v="83.37"/>
        <n v="117.98"/>
        <n v="4.37"/>
        <n v="55.45"/>
        <n v="71.959999999999994"/>
        <n v="27.74"/>
        <n v="48.74"/>
        <n v="34.479999999999997"/>
        <n v="27.89"/>
        <n v="11.09"/>
        <n v="47.22"/>
        <n v="70.48"/>
        <n v="5.6"/>
        <n v="71.95"/>
        <n v="143.59"/>
        <n v="15.41"/>
        <n v="40.15"/>
        <n v="88.53"/>
        <n v="121.17"/>
        <n v="69.790000000000006"/>
        <n v="125.53"/>
        <n v="69.42"/>
        <n v="190.97"/>
        <n v="59.38"/>
        <n v="57.31"/>
        <n v="97.41"/>
        <n v="41.12"/>
        <n v="28.03"/>
        <n v="36.299999999999997"/>
        <n v="48.06"/>
      </sharedItems>
    </cacheField>
    <cacheField name="R_Score" numFmtId="0">
      <sharedItems containsSemiMixedTypes="0" containsString="0" containsNumber="1" containsInteger="1" minValue="1" maxValue="5" count="5">
        <n v="4"/>
        <n v="5"/>
        <n v="2"/>
        <n v="3"/>
        <n v="1"/>
      </sharedItems>
    </cacheField>
    <cacheField name="F_Score" numFmtId="0">
      <sharedItems containsSemiMixedTypes="0" containsString="0" containsNumber="1" containsInteger="1" minValue="1" maxValue="5" count="5">
        <n v="5"/>
        <n v="4"/>
        <n v="2"/>
        <n v="3"/>
        <n v="1"/>
      </sharedItems>
    </cacheField>
    <cacheField name="M_Score" numFmtId="0">
      <sharedItems containsSemiMixedTypes="0" containsString="0" containsNumber="1" containsInteger="1" minValue="1" maxValue="5" count="5">
        <n v="4"/>
        <n v="3"/>
        <n v="5"/>
        <n v="2"/>
        <n v="1"/>
      </sharedItems>
    </cacheField>
    <cacheField name="RFM_Score" numFmtId="0">
      <sharedItems containsSemiMixedTypes="0" containsString="0" containsNumber="1" containsInteger="1" minValue="3" maxValue="15" count="13">
        <n v="13"/>
        <n v="12"/>
        <n v="10"/>
        <n v="15"/>
        <n v="14"/>
        <n v="9"/>
        <n v="5"/>
        <n v="8"/>
        <n v="11"/>
        <n v="6"/>
        <n v="4"/>
        <n v="3"/>
        <n v="7"/>
      </sharedItems>
    </cacheField>
    <cacheField name="RFM_Category" numFmtId="0">
      <sharedItems count="5">
        <s v="Best Customers"/>
        <s v="Loyal Customers"/>
        <s v="Potential Loyal Customers"/>
        <s v="Need Attention"/>
        <s v="At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3"/>
    <x v="4"/>
  </r>
  <r>
    <x v="5"/>
    <x v="5"/>
    <x v="5"/>
    <x v="1"/>
    <x v="5"/>
  </r>
  <r>
    <x v="6"/>
    <x v="6"/>
    <x v="6"/>
    <x v="2"/>
    <x v="6"/>
  </r>
  <r>
    <x v="7"/>
    <x v="7"/>
    <x v="0"/>
    <x v="1"/>
    <x v="7"/>
  </r>
  <r>
    <x v="8"/>
    <x v="8"/>
    <x v="7"/>
    <x v="0"/>
    <x v="8"/>
  </r>
  <r>
    <x v="9"/>
    <x v="9"/>
    <x v="8"/>
    <x v="4"/>
    <x v="9"/>
  </r>
  <r>
    <x v="10"/>
    <x v="10"/>
    <x v="9"/>
    <x v="3"/>
    <x v="10"/>
  </r>
  <r>
    <x v="11"/>
    <x v="11"/>
    <x v="10"/>
    <x v="0"/>
    <x v="11"/>
  </r>
  <r>
    <x v="12"/>
    <x v="12"/>
    <x v="11"/>
    <x v="4"/>
    <x v="12"/>
  </r>
  <r>
    <x v="13"/>
    <x v="13"/>
    <x v="12"/>
    <x v="0"/>
    <x v="13"/>
  </r>
  <r>
    <x v="14"/>
    <x v="14"/>
    <x v="13"/>
    <x v="2"/>
    <x v="14"/>
  </r>
  <r>
    <x v="15"/>
    <x v="15"/>
    <x v="14"/>
    <x v="3"/>
    <x v="15"/>
  </r>
  <r>
    <x v="16"/>
    <x v="16"/>
    <x v="15"/>
    <x v="1"/>
    <x v="16"/>
  </r>
  <r>
    <x v="17"/>
    <x v="17"/>
    <x v="16"/>
    <x v="1"/>
    <x v="17"/>
  </r>
  <r>
    <x v="18"/>
    <x v="18"/>
    <x v="17"/>
    <x v="4"/>
    <x v="18"/>
  </r>
  <r>
    <x v="19"/>
    <x v="19"/>
    <x v="18"/>
    <x v="5"/>
    <x v="19"/>
  </r>
  <r>
    <x v="20"/>
    <x v="20"/>
    <x v="19"/>
    <x v="2"/>
    <x v="20"/>
  </r>
  <r>
    <x v="21"/>
    <x v="21"/>
    <x v="20"/>
    <x v="4"/>
    <x v="21"/>
  </r>
  <r>
    <x v="22"/>
    <x v="22"/>
    <x v="21"/>
    <x v="5"/>
    <x v="22"/>
  </r>
  <r>
    <x v="23"/>
    <x v="23"/>
    <x v="22"/>
    <x v="0"/>
    <x v="23"/>
  </r>
  <r>
    <x v="24"/>
    <x v="24"/>
    <x v="23"/>
    <x v="2"/>
    <x v="24"/>
  </r>
  <r>
    <x v="25"/>
    <x v="25"/>
    <x v="24"/>
    <x v="0"/>
    <x v="25"/>
  </r>
  <r>
    <x v="26"/>
    <x v="26"/>
    <x v="25"/>
    <x v="3"/>
    <x v="26"/>
  </r>
  <r>
    <x v="27"/>
    <x v="27"/>
    <x v="26"/>
    <x v="2"/>
    <x v="27"/>
  </r>
  <r>
    <x v="28"/>
    <x v="28"/>
    <x v="27"/>
    <x v="5"/>
    <x v="28"/>
  </r>
  <r>
    <x v="29"/>
    <x v="29"/>
    <x v="28"/>
    <x v="3"/>
    <x v="29"/>
  </r>
  <r>
    <x v="30"/>
    <x v="30"/>
    <x v="29"/>
    <x v="1"/>
    <x v="30"/>
  </r>
  <r>
    <x v="31"/>
    <x v="31"/>
    <x v="30"/>
    <x v="5"/>
    <x v="31"/>
  </r>
  <r>
    <x v="32"/>
    <x v="32"/>
    <x v="31"/>
    <x v="4"/>
    <x v="32"/>
  </r>
  <r>
    <x v="33"/>
    <x v="33"/>
    <x v="2"/>
    <x v="1"/>
    <x v="33"/>
  </r>
  <r>
    <x v="34"/>
    <x v="34"/>
    <x v="32"/>
    <x v="1"/>
    <x v="34"/>
  </r>
  <r>
    <x v="35"/>
    <x v="35"/>
    <x v="33"/>
    <x v="4"/>
    <x v="35"/>
  </r>
  <r>
    <x v="36"/>
    <x v="36"/>
    <x v="34"/>
    <x v="2"/>
    <x v="36"/>
  </r>
  <r>
    <x v="37"/>
    <x v="37"/>
    <x v="35"/>
    <x v="1"/>
    <x v="37"/>
  </r>
  <r>
    <x v="38"/>
    <x v="38"/>
    <x v="36"/>
    <x v="5"/>
    <x v="38"/>
  </r>
  <r>
    <x v="39"/>
    <x v="36"/>
    <x v="37"/>
    <x v="3"/>
    <x v="39"/>
  </r>
  <r>
    <x v="40"/>
    <x v="23"/>
    <x v="38"/>
    <x v="1"/>
    <x v="40"/>
  </r>
  <r>
    <x v="41"/>
    <x v="39"/>
    <x v="14"/>
    <x v="5"/>
    <x v="41"/>
  </r>
  <r>
    <x v="42"/>
    <x v="40"/>
    <x v="39"/>
    <x v="0"/>
    <x v="42"/>
  </r>
  <r>
    <x v="43"/>
    <x v="41"/>
    <x v="40"/>
    <x v="5"/>
    <x v="43"/>
  </r>
  <r>
    <x v="44"/>
    <x v="42"/>
    <x v="6"/>
    <x v="3"/>
    <x v="44"/>
  </r>
  <r>
    <x v="45"/>
    <x v="43"/>
    <x v="41"/>
    <x v="5"/>
    <x v="45"/>
  </r>
  <r>
    <x v="46"/>
    <x v="44"/>
    <x v="42"/>
    <x v="4"/>
    <x v="46"/>
  </r>
  <r>
    <x v="47"/>
    <x v="45"/>
    <x v="43"/>
    <x v="3"/>
    <x v="47"/>
  </r>
  <r>
    <x v="48"/>
    <x v="46"/>
    <x v="44"/>
    <x v="2"/>
    <x v="36"/>
  </r>
  <r>
    <x v="49"/>
    <x v="47"/>
    <x v="45"/>
    <x v="0"/>
    <x v="48"/>
  </r>
  <r>
    <x v="50"/>
    <x v="48"/>
    <x v="46"/>
    <x v="4"/>
    <x v="46"/>
  </r>
  <r>
    <x v="51"/>
    <x v="49"/>
    <x v="47"/>
    <x v="2"/>
    <x v="49"/>
  </r>
  <r>
    <x v="52"/>
    <x v="50"/>
    <x v="48"/>
    <x v="5"/>
    <x v="50"/>
  </r>
  <r>
    <x v="53"/>
    <x v="40"/>
    <x v="49"/>
    <x v="3"/>
    <x v="51"/>
  </r>
  <r>
    <x v="54"/>
    <x v="40"/>
    <x v="50"/>
    <x v="0"/>
    <x v="52"/>
  </r>
  <r>
    <x v="55"/>
    <x v="51"/>
    <x v="51"/>
    <x v="4"/>
    <x v="53"/>
  </r>
  <r>
    <x v="56"/>
    <x v="52"/>
    <x v="52"/>
    <x v="2"/>
    <x v="54"/>
  </r>
  <r>
    <x v="57"/>
    <x v="53"/>
    <x v="53"/>
    <x v="2"/>
    <x v="55"/>
  </r>
  <r>
    <x v="58"/>
    <x v="54"/>
    <x v="54"/>
    <x v="0"/>
    <x v="56"/>
  </r>
  <r>
    <x v="59"/>
    <x v="43"/>
    <x v="55"/>
    <x v="5"/>
    <x v="57"/>
  </r>
  <r>
    <x v="60"/>
    <x v="38"/>
    <x v="56"/>
    <x v="0"/>
    <x v="58"/>
  </r>
  <r>
    <x v="61"/>
    <x v="55"/>
    <x v="57"/>
    <x v="2"/>
    <x v="59"/>
  </r>
  <r>
    <x v="62"/>
    <x v="56"/>
    <x v="12"/>
    <x v="1"/>
    <x v="60"/>
  </r>
  <r>
    <x v="63"/>
    <x v="57"/>
    <x v="58"/>
    <x v="4"/>
    <x v="61"/>
  </r>
  <r>
    <x v="64"/>
    <x v="58"/>
    <x v="59"/>
    <x v="0"/>
    <x v="62"/>
  </r>
  <r>
    <x v="65"/>
    <x v="59"/>
    <x v="60"/>
    <x v="2"/>
    <x v="63"/>
  </r>
  <r>
    <x v="66"/>
    <x v="57"/>
    <x v="61"/>
    <x v="5"/>
    <x v="64"/>
  </r>
  <r>
    <x v="67"/>
    <x v="14"/>
    <x v="62"/>
    <x v="2"/>
    <x v="65"/>
  </r>
  <r>
    <x v="68"/>
    <x v="60"/>
    <x v="63"/>
    <x v="5"/>
    <x v="66"/>
  </r>
  <r>
    <x v="69"/>
    <x v="58"/>
    <x v="64"/>
    <x v="0"/>
    <x v="67"/>
  </r>
  <r>
    <x v="70"/>
    <x v="61"/>
    <x v="65"/>
    <x v="5"/>
    <x v="68"/>
  </r>
  <r>
    <x v="71"/>
    <x v="62"/>
    <x v="66"/>
    <x v="3"/>
    <x v="69"/>
  </r>
  <r>
    <x v="72"/>
    <x v="63"/>
    <x v="67"/>
    <x v="3"/>
    <x v="70"/>
  </r>
  <r>
    <x v="73"/>
    <x v="3"/>
    <x v="68"/>
    <x v="3"/>
    <x v="71"/>
  </r>
  <r>
    <x v="74"/>
    <x v="32"/>
    <x v="69"/>
    <x v="1"/>
    <x v="72"/>
  </r>
  <r>
    <x v="75"/>
    <x v="64"/>
    <x v="70"/>
    <x v="0"/>
    <x v="73"/>
  </r>
  <r>
    <x v="76"/>
    <x v="65"/>
    <x v="2"/>
    <x v="2"/>
    <x v="74"/>
  </r>
  <r>
    <x v="77"/>
    <x v="66"/>
    <x v="8"/>
    <x v="2"/>
    <x v="75"/>
  </r>
  <r>
    <x v="78"/>
    <x v="67"/>
    <x v="71"/>
    <x v="1"/>
    <x v="76"/>
  </r>
  <r>
    <x v="79"/>
    <x v="68"/>
    <x v="32"/>
    <x v="5"/>
    <x v="77"/>
  </r>
  <r>
    <x v="80"/>
    <x v="69"/>
    <x v="72"/>
    <x v="1"/>
    <x v="78"/>
  </r>
  <r>
    <x v="81"/>
    <x v="70"/>
    <x v="73"/>
    <x v="5"/>
    <x v="79"/>
  </r>
  <r>
    <x v="82"/>
    <x v="55"/>
    <x v="74"/>
    <x v="5"/>
    <x v="80"/>
  </r>
  <r>
    <x v="83"/>
    <x v="57"/>
    <x v="75"/>
    <x v="4"/>
    <x v="81"/>
  </r>
  <r>
    <x v="84"/>
    <x v="71"/>
    <x v="76"/>
    <x v="2"/>
    <x v="82"/>
  </r>
  <r>
    <x v="85"/>
    <x v="4"/>
    <x v="50"/>
    <x v="3"/>
    <x v="83"/>
  </r>
  <r>
    <x v="86"/>
    <x v="57"/>
    <x v="77"/>
    <x v="5"/>
    <x v="84"/>
  </r>
  <r>
    <x v="87"/>
    <x v="72"/>
    <x v="78"/>
    <x v="4"/>
    <x v="85"/>
  </r>
  <r>
    <x v="88"/>
    <x v="73"/>
    <x v="71"/>
    <x v="2"/>
    <x v="86"/>
  </r>
  <r>
    <x v="89"/>
    <x v="9"/>
    <x v="31"/>
    <x v="3"/>
    <x v="87"/>
  </r>
  <r>
    <x v="90"/>
    <x v="16"/>
    <x v="79"/>
    <x v="5"/>
    <x v="88"/>
  </r>
  <r>
    <x v="91"/>
    <x v="74"/>
    <x v="80"/>
    <x v="5"/>
    <x v="89"/>
  </r>
  <r>
    <x v="92"/>
    <x v="75"/>
    <x v="81"/>
    <x v="1"/>
    <x v="90"/>
  </r>
  <r>
    <x v="93"/>
    <x v="76"/>
    <x v="82"/>
    <x v="1"/>
    <x v="91"/>
  </r>
  <r>
    <x v="94"/>
    <x v="77"/>
    <x v="83"/>
    <x v="2"/>
    <x v="92"/>
  </r>
  <r>
    <x v="95"/>
    <x v="78"/>
    <x v="27"/>
    <x v="3"/>
    <x v="93"/>
  </r>
  <r>
    <x v="96"/>
    <x v="79"/>
    <x v="84"/>
    <x v="5"/>
    <x v="94"/>
  </r>
  <r>
    <x v="97"/>
    <x v="17"/>
    <x v="85"/>
    <x v="2"/>
    <x v="95"/>
  </r>
  <r>
    <x v="98"/>
    <x v="80"/>
    <x v="18"/>
    <x v="2"/>
    <x v="96"/>
  </r>
  <r>
    <x v="99"/>
    <x v="81"/>
    <x v="86"/>
    <x v="0"/>
    <x v="97"/>
  </r>
  <r>
    <x v="100"/>
    <x v="61"/>
    <x v="87"/>
    <x v="1"/>
    <x v="98"/>
  </r>
  <r>
    <x v="101"/>
    <x v="14"/>
    <x v="88"/>
    <x v="3"/>
    <x v="99"/>
  </r>
  <r>
    <x v="102"/>
    <x v="53"/>
    <x v="89"/>
    <x v="5"/>
    <x v="100"/>
  </r>
  <r>
    <x v="103"/>
    <x v="82"/>
    <x v="56"/>
    <x v="2"/>
    <x v="101"/>
  </r>
  <r>
    <x v="104"/>
    <x v="45"/>
    <x v="90"/>
    <x v="5"/>
    <x v="102"/>
  </r>
  <r>
    <x v="105"/>
    <x v="83"/>
    <x v="91"/>
    <x v="0"/>
    <x v="103"/>
  </r>
  <r>
    <x v="106"/>
    <x v="84"/>
    <x v="92"/>
    <x v="3"/>
    <x v="104"/>
  </r>
  <r>
    <x v="107"/>
    <x v="40"/>
    <x v="93"/>
    <x v="2"/>
    <x v="105"/>
  </r>
  <r>
    <x v="108"/>
    <x v="85"/>
    <x v="79"/>
    <x v="5"/>
    <x v="106"/>
  </r>
  <r>
    <x v="109"/>
    <x v="56"/>
    <x v="94"/>
    <x v="1"/>
    <x v="107"/>
  </r>
  <r>
    <x v="110"/>
    <x v="40"/>
    <x v="40"/>
    <x v="0"/>
    <x v="108"/>
  </r>
  <r>
    <x v="111"/>
    <x v="86"/>
    <x v="95"/>
    <x v="3"/>
    <x v="109"/>
  </r>
  <r>
    <x v="112"/>
    <x v="87"/>
    <x v="96"/>
    <x v="0"/>
    <x v="110"/>
  </r>
  <r>
    <x v="113"/>
    <x v="88"/>
    <x v="97"/>
    <x v="1"/>
    <x v="111"/>
  </r>
  <r>
    <x v="114"/>
    <x v="89"/>
    <x v="98"/>
    <x v="3"/>
    <x v="112"/>
  </r>
  <r>
    <x v="115"/>
    <x v="90"/>
    <x v="99"/>
    <x v="0"/>
    <x v="113"/>
  </r>
  <r>
    <x v="116"/>
    <x v="91"/>
    <x v="100"/>
    <x v="4"/>
    <x v="114"/>
  </r>
  <r>
    <x v="117"/>
    <x v="92"/>
    <x v="101"/>
    <x v="1"/>
    <x v="115"/>
  </r>
  <r>
    <x v="118"/>
    <x v="93"/>
    <x v="102"/>
    <x v="1"/>
    <x v="116"/>
  </r>
  <r>
    <x v="119"/>
    <x v="94"/>
    <x v="103"/>
    <x v="1"/>
    <x v="117"/>
  </r>
  <r>
    <x v="120"/>
    <x v="23"/>
    <x v="104"/>
    <x v="4"/>
    <x v="118"/>
  </r>
  <r>
    <x v="121"/>
    <x v="95"/>
    <x v="12"/>
    <x v="4"/>
    <x v="119"/>
  </r>
  <r>
    <x v="122"/>
    <x v="96"/>
    <x v="105"/>
    <x v="5"/>
    <x v="120"/>
  </r>
  <r>
    <x v="123"/>
    <x v="25"/>
    <x v="54"/>
    <x v="2"/>
    <x v="49"/>
  </r>
  <r>
    <x v="124"/>
    <x v="97"/>
    <x v="106"/>
    <x v="0"/>
    <x v="121"/>
  </r>
  <r>
    <x v="125"/>
    <x v="11"/>
    <x v="107"/>
    <x v="5"/>
    <x v="122"/>
  </r>
  <r>
    <x v="126"/>
    <x v="98"/>
    <x v="14"/>
    <x v="0"/>
    <x v="123"/>
  </r>
  <r>
    <x v="127"/>
    <x v="99"/>
    <x v="108"/>
    <x v="2"/>
    <x v="124"/>
  </r>
  <r>
    <x v="128"/>
    <x v="22"/>
    <x v="109"/>
    <x v="4"/>
    <x v="125"/>
  </r>
  <r>
    <x v="129"/>
    <x v="100"/>
    <x v="64"/>
    <x v="2"/>
    <x v="126"/>
  </r>
  <r>
    <x v="130"/>
    <x v="101"/>
    <x v="110"/>
    <x v="4"/>
    <x v="127"/>
  </r>
  <r>
    <x v="131"/>
    <x v="19"/>
    <x v="111"/>
    <x v="2"/>
    <x v="128"/>
  </r>
  <r>
    <x v="132"/>
    <x v="102"/>
    <x v="112"/>
    <x v="5"/>
    <x v="129"/>
  </r>
  <r>
    <x v="133"/>
    <x v="103"/>
    <x v="113"/>
    <x v="3"/>
    <x v="130"/>
  </r>
  <r>
    <x v="134"/>
    <x v="104"/>
    <x v="81"/>
    <x v="5"/>
    <x v="100"/>
  </r>
  <r>
    <x v="135"/>
    <x v="29"/>
    <x v="49"/>
    <x v="0"/>
    <x v="131"/>
  </r>
  <r>
    <x v="136"/>
    <x v="46"/>
    <x v="114"/>
    <x v="5"/>
    <x v="132"/>
  </r>
  <r>
    <x v="137"/>
    <x v="105"/>
    <x v="115"/>
    <x v="1"/>
    <x v="133"/>
  </r>
  <r>
    <x v="138"/>
    <x v="106"/>
    <x v="88"/>
    <x v="0"/>
    <x v="134"/>
  </r>
  <r>
    <x v="139"/>
    <x v="107"/>
    <x v="116"/>
    <x v="2"/>
    <x v="135"/>
  </r>
  <r>
    <x v="140"/>
    <x v="108"/>
    <x v="93"/>
    <x v="0"/>
    <x v="136"/>
  </r>
  <r>
    <x v="141"/>
    <x v="66"/>
    <x v="117"/>
    <x v="3"/>
    <x v="47"/>
  </r>
  <r>
    <x v="142"/>
    <x v="85"/>
    <x v="118"/>
    <x v="4"/>
    <x v="137"/>
  </r>
  <r>
    <x v="143"/>
    <x v="109"/>
    <x v="119"/>
    <x v="2"/>
    <x v="138"/>
  </r>
  <r>
    <x v="144"/>
    <x v="110"/>
    <x v="120"/>
    <x v="0"/>
    <x v="139"/>
  </r>
  <r>
    <x v="145"/>
    <x v="111"/>
    <x v="93"/>
    <x v="2"/>
    <x v="140"/>
  </r>
  <r>
    <x v="146"/>
    <x v="43"/>
    <x v="75"/>
    <x v="2"/>
    <x v="141"/>
  </r>
  <r>
    <x v="147"/>
    <x v="99"/>
    <x v="121"/>
    <x v="2"/>
    <x v="142"/>
  </r>
  <r>
    <x v="148"/>
    <x v="112"/>
    <x v="122"/>
    <x v="4"/>
    <x v="143"/>
  </r>
  <r>
    <x v="149"/>
    <x v="106"/>
    <x v="123"/>
    <x v="5"/>
    <x v="144"/>
  </r>
  <r>
    <x v="150"/>
    <x v="113"/>
    <x v="124"/>
    <x v="2"/>
    <x v="145"/>
  </r>
  <r>
    <x v="151"/>
    <x v="52"/>
    <x v="125"/>
    <x v="1"/>
    <x v="146"/>
  </r>
  <r>
    <x v="152"/>
    <x v="1"/>
    <x v="126"/>
    <x v="3"/>
    <x v="147"/>
  </r>
  <r>
    <x v="153"/>
    <x v="114"/>
    <x v="84"/>
    <x v="4"/>
    <x v="148"/>
  </r>
  <r>
    <x v="154"/>
    <x v="115"/>
    <x v="127"/>
    <x v="0"/>
    <x v="149"/>
  </r>
  <r>
    <x v="155"/>
    <x v="46"/>
    <x v="128"/>
    <x v="4"/>
    <x v="150"/>
  </r>
  <r>
    <x v="156"/>
    <x v="116"/>
    <x v="129"/>
    <x v="0"/>
    <x v="151"/>
  </r>
  <r>
    <x v="157"/>
    <x v="104"/>
    <x v="130"/>
    <x v="4"/>
    <x v="152"/>
  </r>
  <r>
    <x v="158"/>
    <x v="117"/>
    <x v="131"/>
    <x v="0"/>
    <x v="153"/>
  </r>
  <r>
    <x v="159"/>
    <x v="118"/>
    <x v="30"/>
    <x v="2"/>
    <x v="154"/>
  </r>
  <r>
    <x v="160"/>
    <x v="10"/>
    <x v="132"/>
    <x v="5"/>
    <x v="41"/>
  </r>
  <r>
    <x v="161"/>
    <x v="114"/>
    <x v="100"/>
    <x v="0"/>
    <x v="155"/>
  </r>
  <r>
    <x v="162"/>
    <x v="80"/>
    <x v="133"/>
    <x v="0"/>
    <x v="156"/>
  </r>
  <r>
    <x v="163"/>
    <x v="65"/>
    <x v="130"/>
    <x v="1"/>
    <x v="157"/>
  </r>
  <r>
    <x v="164"/>
    <x v="46"/>
    <x v="94"/>
    <x v="0"/>
    <x v="158"/>
  </r>
  <r>
    <x v="165"/>
    <x v="119"/>
    <x v="134"/>
    <x v="1"/>
    <x v="159"/>
  </r>
  <r>
    <x v="166"/>
    <x v="118"/>
    <x v="65"/>
    <x v="3"/>
    <x v="160"/>
  </r>
  <r>
    <x v="167"/>
    <x v="97"/>
    <x v="51"/>
    <x v="2"/>
    <x v="161"/>
  </r>
  <r>
    <x v="168"/>
    <x v="120"/>
    <x v="135"/>
    <x v="1"/>
    <x v="162"/>
  </r>
  <r>
    <x v="169"/>
    <x v="84"/>
    <x v="9"/>
    <x v="5"/>
    <x v="163"/>
  </r>
  <r>
    <x v="170"/>
    <x v="121"/>
    <x v="136"/>
    <x v="2"/>
    <x v="164"/>
  </r>
  <r>
    <x v="171"/>
    <x v="122"/>
    <x v="137"/>
    <x v="1"/>
    <x v="165"/>
  </r>
  <r>
    <x v="172"/>
    <x v="123"/>
    <x v="93"/>
    <x v="2"/>
    <x v="166"/>
  </r>
  <r>
    <x v="173"/>
    <x v="124"/>
    <x v="32"/>
    <x v="2"/>
    <x v="71"/>
  </r>
  <r>
    <x v="174"/>
    <x v="115"/>
    <x v="138"/>
    <x v="2"/>
    <x v="167"/>
  </r>
  <r>
    <x v="175"/>
    <x v="28"/>
    <x v="112"/>
    <x v="3"/>
    <x v="168"/>
  </r>
  <r>
    <x v="176"/>
    <x v="125"/>
    <x v="139"/>
    <x v="5"/>
    <x v="169"/>
  </r>
  <r>
    <x v="177"/>
    <x v="126"/>
    <x v="140"/>
    <x v="4"/>
    <x v="170"/>
  </r>
  <r>
    <x v="178"/>
    <x v="127"/>
    <x v="141"/>
    <x v="4"/>
    <x v="171"/>
  </r>
  <r>
    <x v="179"/>
    <x v="97"/>
    <x v="142"/>
    <x v="1"/>
    <x v="172"/>
  </r>
  <r>
    <x v="180"/>
    <x v="33"/>
    <x v="111"/>
    <x v="2"/>
    <x v="173"/>
  </r>
  <r>
    <x v="181"/>
    <x v="128"/>
    <x v="143"/>
    <x v="1"/>
    <x v="174"/>
  </r>
  <r>
    <x v="182"/>
    <x v="129"/>
    <x v="144"/>
    <x v="3"/>
    <x v="175"/>
  </r>
  <r>
    <x v="183"/>
    <x v="130"/>
    <x v="145"/>
    <x v="3"/>
    <x v="176"/>
  </r>
  <r>
    <x v="184"/>
    <x v="131"/>
    <x v="146"/>
    <x v="0"/>
    <x v="177"/>
  </r>
  <r>
    <x v="185"/>
    <x v="132"/>
    <x v="138"/>
    <x v="3"/>
    <x v="178"/>
  </r>
  <r>
    <x v="186"/>
    <x v="133"/>
    <x v="39"/>
    <x v="0"/>
    <x v="179"/>
  </r>
  <r>
    <x v="187"/>
    <x v="35"/>
    <x v="147"/>
    <x v="5"/>
    <x v="180"/>
  </r>
  <r>
    <x v="188"/>
    <x v="134"/>
    <x v="104"/>
    <x v="1"/>
    <x v="181"/>
  </r>
  <r>
    <x v="189"/>
    <x v="100"/>
    <x v="13"/>
    <x v="5"/>
    <x v="50"/>
  </r>
  <r>
    <x v="190"/>
    <x v="135"/>
    <x v="148"/>
    <x v="3"/>
    <x v="26"/>
  </r>
  <r>
    <x v="191"/>
    <x v="42"/>
    <x v="126"/>
    <x v="5"/>
    <x v="182"/>
  </r>
  <r>
    <x v="192"/>
    <x v="136"/>
    <x v="119"/>
    <x v="5"/>
    <x v="132"/>
  </r>
  <r>
    <x v="193"/>
    <x v="137"/>
    <x v="141"/>
    <x v="5"/>
    <x v="183"/>
  </r>
  <r>
    <x v="194"/>
    <x v="138"/>
    <x v="149"/>
    <x v="3"/>
    <x v="184"/>
  </r>
  <r>
    <x v="195"/>
    <x v="100"/>
    <x v="150"/>
    <x v="2"/>
    <x v="185"/>
  </r>
  <r>
    <x v="196"/>
    <x v="42"/>
    <x v="145"/>
    <x v="5"/>
    <x v="186"/>
  </r>
  <r>
    <x v="197"/>
    <x v="2"/>
    <x v="118"/>
    <x v="0"/>
    <x v="187"/>
  </r>
  <r>
    <x v="198"/>
    <x v="139"/>
    <x v="97"/>
    <x v="3"/>
    <x v="188"/>
  </r>
  <r>
    <x v="199"/>
    <x v="140"/>
    <x v="151"/>
    <x v="5"/>
    <x v="189"/>
  </r>
  <r>
    <x v="200"/>
    <x v="141"/>
    <x v="150"/>
    <x v="2"/>
    <x v="190"/>
  </r>
  <r>
    <x v="201"/>
    <x v="142"/>
    <x v="107"/>
    <x v="3"/>
    <x v="168"/>
  </r>
  <r>
    <x v="202"/>
    <x v="143"/>
    <x v="150"/>
    <x v="4"/>
    <x v="191"/>
  </r>
  <r>
    <x v="203"/>
    <x v="144"/>
    <x v="56"/>
    <x v="2"/>
    <x v="192"/>
  </r>
  <r>
    <x v="204"/>
    <x v="26"/>
    <x v="127"/>
    <x v="0"/>
    <x v="193"/>
  </r>
  <r>
    <x v="205"/>
    <x v="54"/>
    <x v="150"/>
    <x v="5"/>
    <x v="194"/>
  </r>
  <r>
    <x v="206"/>
    <x v="93"/>
    <x v="58"/>
    <x v="4"/>
    <x v="195"/>
  </r>
  <r>
    <x v="207"/>
    <x v="60"/>
    <x v="152"/>
    <x v="4"/>
    <x v="196"/>
  </r>
  <r>
    <x v="208"/>
    <x v="91"/>
    <x v="153"/>
    <x v="3"/>
    <x v="197"/>
  </r>
  <r>
    <x v="209"/>
    <x v="134"/>
    <x v="59"/>
    <x v="4"/>
    <x v="198"/>
  </r>
  <r>
    <x v="210"/>
    <x v="29"/>
    <x v="154"/>
    <x v="0"/>
    <x v="199"/>
  </r>
  <r>
    <x v="211"/>
    <x v="145"/>
    <x v="155"/>
    <x v="0"/>
    <x v="200"/>
  </r>
  <r>
    <x v="212"/>
    <x v="146"/>
    <x v="138"/>
    <x v="1"/>
    <x v="201"/>
  </r>
  <r>
    <x v="213"/>
    <x v="33"/>
    <x v="156"/>
    <x v="0"/>
    <x v="202"/>
  </r>
  <r>
    <x v="214"/>
    <x v="42"/>
    <x v="152"/>
    <x v="2"/>
    <x v="75"/>
  </r>
  <r>
    <x v="215"/>
    <x v="147"/>
    <x v="50"/>
    <x v="4"/>
    <x v="203"/>
  </r>
  <r>
    <x v="216"/>
    <x v="31"/>
    <x v="104"/>
    <x v="0"/>
    <x v="204"/>
  </r>
  <r>
    <x v="217"/>
    <x v="99"/>
    <x v="64"/>
    <x v="3"/>
    <x v="205"/>
  </r>
  <r>
    <x v="218"/>
    <x v="148"/>
    <x v="126"/>
    <x v="1"/>
    <x v="206"/>
  </r>
  <r>
    <x v="219"/>
    <x v="149"/>
    <x v="143"/>
    <x v="4"/>
    <x v="207"/>
  </r>
  <r>
    <x v="220"/>
    <x v="150"/>
    <x v="157"/>
    <x v="1"/>
    <x v="208"/>
  </r>
  <r>
    <x v="221"/>
    <x v="1"/>
    <x v="158"/>
    <x v="4"/>
    <x v="209"/>
  </r>
  <r>
    <x v="222"/>
    <x v="151"/>
    <x v="159"/>
    <x v="3"/>
    <x v="210"/>
  </r>
  <r>
    <x v="223"/>
    <x v="152"/>
    <x v="160"/>
    <x v="1"/>
    <x v="211"/>
  </r>
  <r>
    <x v="224"/>
    <x v="153"/>
    <x v="161"/>
    <x v="5"/>
    <x v="212"/>
  </r>
  <r>
    <x v="225"/>
    <x v="154"/>
    <x v="110"/>
    <x v="2"/>
    <x v="213"/>
  </r>
  <r>
    <x v="226"/>
    <x v="155"/>
    <x v="19"/>
    <x v="2"/>
    <x v="214"/>
  </r>
  <r>
    <x v="227"/>
    <x v="115"/>
    <x v="77"/>
    <x v="4"/>
    <x v="215"/>
  </r>
  <r>
    <x v="228"/>
    <x v="156"/>
    <x v="162"/>
    <x v="5"/>
    <x v="216"/>
  </r>
  <r>
    <x v="229"/>
    <x v="157"/>
    <x v="163"/>
    <x v="1"/>
    <x v="217"/>
  </r>
  <r>
    <x v="230"/>
    <x v="158"/>
    <x v="143"/>
    <x v="5"/>
    <x v="218"/>
  </r>
  <r>
    <x v="231"/>
    <x v="159"/>
    <x v="164"/>
    <x v="5"/>
    <x v="219"/>
  </r>
  <r>
    <x v="232"/>
    <x v="81"/>
    <x v="165"/>
    <x v="1"/>
    <x v="220"/>
  </r>
  <r>
    <x v="233"/>
    <x v="160"/>
    <x v="166"/>
    <x v="3"/>
    <x v="221"/>
  </r>
  <r>
    <x v="234"/>
    <x v="161"/>
    <x v="95"/>
    <x v="5"/>
    <x v="194"/>
  </r>
  <r>
    <x v="235"/>
    <x v="162"/>
    <x v="167"/>
    <x v="5"/>
    <x v="222"/>
  </r>
  <r>
    <x v="236"/>
    <x v="163"/>
    <x v="127"/>
    <x v="3"/>
    <x v="223"/>
  </r>
  <r>
    <x v="237"/>
    <x v="4"/>
    <x v="168"/>
    <x v="5"/>
    <x v="224"/>
  </r>
  <r>
    <x v="238"/>
    <x v="88"/>
    <x v="1"/>
    <x v="5"/>
    <x v="225"/>
  </r>
  <r>
    <x v="239"/>
    <x v="164"/>
    <x v="142"/>
    <x v="5"/>
    <x v="226"/>
  </r>
  <r>
    <x v="240"/>
    <x v="132"/>
    <x v="169"/>
    <x v="2"/>
    <x v="227"/>
  </r>
  <r>
    <x v="241"/>
    <x v="165"/>
    <x v="71"/>
    <x v="0"/>
    <x v="228"/>
  </r>
  <r>
    <x v="242"/>
    <x v="166"/>
    <x v="49"/>
    <x v="3"/>
    <x v="229"/>
  </r>
  <r>
    <x v="243"/>
    <x v="167"/>
    <x v="170"/>
    <x v="5"/>
    <x v="230"/>
  </r>
  <r>
    <x v="244"/>
    <x v="168"/>
    <x v="169"/>
    <x v="2"/>
    <x v="231"/>
  </r>
  <r>
    <x v="245"/>
    <x v="102"/>
    <x v="116"/>
    <x v="3"/>
    <x v="232"/>
  </r>
  <r>
    <x v="246"/>
    <x v="124"/>
    <x v="171"/>
    <x v="4"/>
    <x v="233"/>
  </r>
  <r>
    <x v="247"/>
    <x v="147"/>
    <x v="172"/>
    <x v="4"/>
    <x v="234"/>
  </r>
  <r>
    <x v="248"/>
    <x v="169"/>
    <x v="136"/>
    <x v="5"/>
    <x v="235"/>
  </r>
  <r>
    <x v="249"/>
    <x v="121"/>
    <x v="173"/>
    <x v="2"/>
    <x v="236"/>
  </r>
  <r>
    <x v="250"/>
    <x v="110"/>
    <x v="76"/>
    <x v="2"/>
    <x v="237"/>
  </r>
  <r>
    <x v="251"/>
    <x v="120"/>
    <x v="12"/>
    <x v="3"/>
    <x v="238"/>
  </r>
  <r>
    <x v="252"/>
    <x v="170"/>
    <x v="86"/>
    <x v="3"/>
    <x v="239"/>
  </r>
  <r>
    <x v="253"/>
    <x v="74"/>
    <x v="174"/>
    <x v="2"/>
    <x v="240"/>
  </r>
  <r>
    <x v="254"/>
    <x v="170"/>
    <x v="175"/>
    <x v="3"/>
    <x v="24"/>
  </r>
  <r>
    <x v="255"/>
    <x v="41"/>
    <x v="176"/>
    <x v="2"/>
    <x v="241"/>
  </r>
  <r>
    <x v="256"/>
    <x v="171"/>
    <x v="103"/>
    <x v="0"/>
    <x v="242"/>
  </r>
  <r>
    <x v="257"/>
    <x v="172"/>
    <x v="177"/>
    <x v="2"/>
    <x v="243"/>
  </r>
  <r>
    <x v="258"/>
    <x v="37"/>
    <x v="71"/>
    <x v="4"/>
    <x v="244"/>
  </r>
  <r>
    <x v="259"/>
    <x v="173"/>
    <x v="165"/>
    <x v="3"/>
    <x v="245"/>
  </r>
  <r>
    <x v="260"/>
    <x v="174"/>
    <x v="49"/>
    <x v="2"/>
    <x v="246"/>
  </r>
  <r>
    <x v="261"/>
    <x v="175"/>
    <x v="178"/>
    <x v="2"/>
    <x v="247"/>
  </r>
  <r>
    <x v="262"/>
    <x v="176"/>
    <x v="179"/>
    <x v="3"/>
    <x v="248"/>
  </r>
  <r>
    <x v="263"/>
    <x v="177"/>
    <x v="58"/>
    <x v="0"/>
    <x v="249"/>
  </r>
  <r>
    <x v="264"/>
    <x v="178"/>
    <x v="70"/>
    <x v="0"/>
    <x v="250"/>
  </r>
  <r>
    <x v="265"/>
    <x v="104"/>
    <x v="180"/>
    <x v="3"/>
    <x v="251"/>
  </r>
  <r>
    <x v="266"/>
    <x v="94"/>
    <x v="181"/>
    <x v="1"/>
    <x v="252"/>
  </r>
  <r>
    <x v="267"/>
    <x v="179"/>
    <x v="182"/>
    <x v="3"/>
    <x v="87"/>
  </r>
  <r>
    <x v="268"/>
    <x v="180"/>
    <x v="126"/>
    <x v="3"/>
    <x v="253"/>
  </r>
  <r>
    <x v="269"/>
    <x v="121"/>
    <x v="85"/>
    <x v="0"/>
    <x v="254"/>
  </r>
  <r>
    <x v="270"/>
    <x v="88"/>
    <x v="141"/>
    <x v="0"/>
    <x v="255"/>
  </r>
  <r>
    <x v="271"/>
    <x v="108"/>
    <x v="103"/>
    <x v="3"/>
    <x v="175"/>
  </r>
  <r>
    <x v="272"/>
    <x v="181"/>
    <x v="170"/>
    <x v="3"/>
    <x v="256"/>
  </r>
  <r>
    <x v="273"/>
    <x v="110"/>
    <x v="70"/>
    <x v="3"/>
    <x v="70"/>
  </r>
  <r>
    <x v="274"/>
    <x v="38"/>
    <x v="74"/>
    <x v="0"/>
    <x v="257"/>
  </r>
  <r>
    <x v="275"/>
    <x v="182"/>
    <x v="14"/>
    <x v="3"/>
    <x v="258"/>
  </r>
  <r>
    <x v="276"/>
    <x v="183"/>
    <x v="13"/>
    <x v="3"/>
    <x v="259"/>
  </r>
  <r>
    <x v="277"/>
    <x v="109"/>
    <x v="59"/>
    <x v="5"/>
    <x v="260"/>
  </r>
  <r>
    <x v="278"/>
    <x v="31"/>
    <x v="183"/>
    <x v="1"/>
    <x v="261"/>
  </r>
  <r>
    <x v="279"/>
    <x v="48"/>
    <x v="22"/>
    <x v="4"/>
    <x v="262"/>
  </r>
  <r>
    <x v="280"/>
    <x v="20"/>
    <x v="140"/>
    <x v="1"/>
    <x v="91"/>
  </r>
  <r>
    <x v="281"/>
    <x v="138"/>
    <x v="184"/>
    <x v="5"/>
    <x v="263"/>
  </r>
  <r>
    <x v="282"/>
    <x v="103"/>
    <x v="150"/>
    <x v="4"/>
    <x v="264"/>
  </r>
  <r>
    <x v="283"/>
    <x v="184"/>
    <x v="185"/>
    <x v="3"/>
    <x v="104"/>
  </r>
  <r>
    <x v="284"/>
    <x v="92"/>
    <x v="51"/>
    <x v="5"/>
    <x v="66"/>
  </r>
  <r>
    <x v="285"/>
    <x v="53"/>
    <x v="180"/>
    <x v="3"/>
    <x v="265"/>
  </r>
  <r>
    <x v="286"/>
    <x v="185"/>
    <x v="106"/>
    <x v="0"/>
    <x v="266"/>
  </r>
  <r>
    <x v="287"/>
    <x v="8"/>
    <x v="178"/>
    <x v="2"/>
    <x v="267"/>
  </r>
  <r>
    <x v="288"/>
    <x v="180"/>
    <x v="103"/>
    <x v="5"/>
    <x v="212"/>
  </r>
  <r>
    <x v="289"/>
    <x v="186"/>
    <x v="186"/>
    <x v="0"/>
    <x v="268"/>
  </r>
  <r>
    <x v="290"/>
    <x v="37"/>
    <x v="1"/>
    <x v="5"/>
    <x v="269"/>
  </r>
  <r>
    <x v="291"/>
    <x v="73"/>
    <x v="76"/>
    <x v="5"/>
    <x v="182"/>
  </r>
  <r>
    <x v="292"/>
    <x v="187"/>
    <x v="187"/>
    <x v="0"/>
    <x v="270"/>
  </r>
  <r>
    <x v="293"/>
    <x v="188"/>
    <x v="62"/>
    <x v="4"/>
    <x v="271"/>
  </r>
  <r>
    <x v="294"/>
    <x v="189"/>
    <x v="90"/>
    <x v="1"/>
    <x v="272"/>
  </r>
  <r>
    <x v="295"/>
    <x v="190"/>
    <x v="74"/>
    <x v="3"/>
    <x v="273"/>
  </r>
  <r>
    <x v="296"/>
    <x v="9"/>
    <x v="188"/>
    <x v="5"/>
    <x v="274"/>
  </r>
  <r>
    <x v="297"/>
    <x v="191"/>
    <x v="22"/>
    <x v="3"/>
    <x v="275"/>
  </r>
  <r>
    <x v="298"/>
    <x v="192"/>
    <x v="189"/>
    <x v="2"/>
    <x v="39"/>
  </r>
  <r>
    <x v="299"/>
    <x v="76"/>
    <x v="91"/>
    <x v="0"/>
    <x v="276"/>
  </r>
  <r>
    <x v="300"/>
    <x v="77"/>
    <x v="21"/>
    <x v="3"/>
    <x v="277"/>
  </r>
  <r>
    <x v="301"/>
    <x v="94"/>
    <x v="70"/>
    <x v="0"/>
    <x v="278"/>
  </r>
  <r>
    <x v="302"/>
    <x v="101"/>
    <x v="40"/>
    <x v="3"/>
    <x v="279"/>
  </r>
  <r>
    <x v="303"/>
    <x v="25"/>
    <x v="190"/>
    <x v="1"/>
    <x v="280"/>
  </r>
  <r>
    <x v="304"/>
    <x v="23"/>
    <x v="136"/>
    <x v="1"/>
    <x v="281"/>
  </r>
  <r>
    <x v="305"/>
    <x v="81"/>
    <x v="98"/>
    <x v="1"/>
    <x v="282"/>
  </r>
  <r>
    <x v="306"/>
    <x v="193"/>
    <x v="191"/>
    <x v="1"/>
    <x v="283"/>
  </r>
  <r>
    <x v="307"/>
    <x v="130"/>
    <x v="24"/>
    <x v="1"/>
    <x v="284"/>
  </r>
  <r>
    <x v="308"/>
    <x v="194"/>
    <x v="192"/>
    <x v="1"/>
    <x v="285"/>
  </r>
  <r>
    <x v="309"/>
    <x v="39"/>
    <x v="193"/>
    <x v="0"/>
    <x v="286"/>
  </r>
  <r>
    <x v="310"/>
    <x v="195"/>
    <x v="194"/>
    <x v="5"/>
    <x v="287"/>
  </r>
  <r>
    <x v="311"/>
    <x v="196"/>
    <x v="195"/>
    <x v="3"/>
    <x v="288"/>
  </r>
  <r>
    <x v="312"/>
    <x v="180"/>
    <x v="196"/>
    <x v="1"/>
    <x v="289"/>
  </r>
  <r>
    <x v="313"/>
    <x v="100"/>
    <x v="34"/>
    <x v="0"/>
    <x v="290"/>
  </r>
  <r>
    <x v="314"/>
    <x v="56"/>
    <x v="53"/>
    <x v="0"/>
    <x v="291"/>
  </r>
  <r>
    <x v="315"/>
    <x v="112"/>
    <x v="112"/>
    <x v="0"/>
    <x v="292"/>
  </r>
  <r>
    <x v="316"/>
    <x v="175"/>
    <x v="197"/>
    <x v="5"/>
    <x v="293"/>
  </r>
  <r>
    <x v="317"/>
    <x v="17"/>
    <x v="198"/>
    <x v="3"/>
    <x v="294"/>
  </r>
  <r>
    <x v="318"/>
    <x v="58"/>
    <x v="21"/>
    <x v="5"/>
    <x v="295"/>
  </r>
  <r>
    <x v="319"/>
    <x v="197"/>
    <x v="135"/>
    <x v="4"/>
    <x v="296"/>
  </r>
  <r>
    <x v="320"/>
    <x v="155"/>
    <x v="166"/>
    <x v="0"/>
    <x v="297"/>
  </r>
  <r>
    <x v="321"/>
    <x v="144"/>
    <x v="130"/>
    <x v="4"/>
    <x v="298"/>
  </r>
  <r>
    <x v="322"/>
    <x v="80"/>
    <x v="199"/>
    <x v="2"/>
    <x v="299"/>
  </r>
  <r>
    <x v="323"/>
    <x v="196"/>
    <x v="70"/>
    <x v="1"/>
    <x v="227"/>
  </r>
  <r>
    <x v="324"/>
    <x v="105"/>
    <x v="170"/>
    <x v="1"/>
    <x v="300"/>
  </r>
  <r>
    <x v="325"/>
    <x v="174"/>
    <x v="200"/>
    <x v="5"/>
    <x v="301"/>
  </r>
  <r>
    <x v="326"/>
    <x v="104"/>
    <x v="54"/>
    <x v="3"/>
    <x v="302"/>
  </r>
  <r>
    <x v="327"/>
    <x v="198"/>
    <x v="20"/>
    <x v="4"/>
    <x v="303"/>
  </r>
  <r>
    <x v="328"/>
    <x v="174"/>
    <x v="28"/>
    <x v="3"/>
    <x v="304"/>
  </r>
  <r>
    <x v="329"/>
    <x v="23"/>
    <x v="201"/>
    <x v="5"/>
    <x v="305"/>
  </r>
  <r>
    <x v="330"/>
    <x v="109"/>
    <x v="104"/>
    <x v="1"/>
    <x v="306"/>
  </r>
  <r>
    <x v="331"/>
    <x v="199"/>
    <x v="153"/>
    <x v="3"/>
    <x v="307"/>
  </r>
  <r>
    <x v="332"/>
    <x v="200"/>
    <x v="193"/>
    <x v="3"/>
    <x v="308"/>
  </r>
  <r>
    <x v="333"/>
    <x v="201"/>
    <x v="202"/>
    <x v="1"/>
    <x v="309"/>
  </r>
  <r>
    <x v="334"/>
    <x v="40"/>
    <x v="203"/>
    <x v="4"/>
    <x v="310"/>
  </r>
  <r>
    <x v="335"/>
    <x v="38"/>
    <x v="103"/>
    <x v="1"/>
    <x v="311"/>
  </r>
  <r>
    <x v="336"/>
    <x v="106"/>
    <x v="141"/>
    <x v="3"/>
    <x v="258"/>
  </r>
  <r>
    <x v="337"/>
    <x v="51"/>
    <x v="182"/>
    <x v="4"/>
    <x v="312"/>
  </r>
  <r>
    <x v="338"/>
    <x v="29"/>
    <x v="77"/>
    <x v="4"/>
    <x v="313"/>
  </r>
  <r>
    <x v="339"/>
    <x v="135"/>
    <x v="1"/>
    <x v="1"/>
    <x v="314"/>
  </r>
  <r>
    <x v="340"/>
    <x v="26"/>
    <x v="204"/>
    <x v="3"/>
    <x v="315"/>
  </r>
  <r>
    <x v="341"/>
    <x v="202"/>
    <x v="205"/>
    <x v="5"/>
    <x v="316"/>
  </r>
  <r>
    <x v="342"/>
    <x v="6"/>
    <x v="206"/>
    <x v="3"/>
    <x v="317"/>
  </r>
  <r>
    <x v="343"/>
    <x v="203"/>
    <x v="103"/>
    <x v="0"/>
    <x v="318"/>
  </r>
  <r>
    <x v="344"/>
    <x v="204"/>
    <x v="31"/>
    <x v="2"/>
    <x v="319"/>
  </r>
  <r>
    <x v="345"/>
    <x v="205"/>
    <x v="140"/>
    <x v="5"/>
    <x v="66"/>
  </r>
  <r>
    <x v="346"/>
    <x v="11"/>
    <x v="63"/>
    <x v="4"/>
    <x v="320"/>
  </r>
  <r>
    <x v="347"/>
    <x v="206"/>
    <x v="25"/>
    <x v="5"/>
    <x v="274"/>
  </r>
  <r>
    <x v="348"/>
    <x v="109"/>
    <x v="22"/>
    <x v="4"/>
    <x v="321"/>
  </r>
  <r>
    <x v="349"/>
    <x v="207"/>
    <x v="207"/>
    <x v="4"/>
    <x v="322"/>
  </r>
  <r>
    <x v="350"/>
    <x v="204"/>
    <x v="208"/>
    <x v="5"/>
    <x v="31"/>
  </r>
  <r>
    <x v="351"/>
    <x v="208"/>
    <x v="136"/>
    <x v="4"/>
    <x v="323"/>
  </r>
  <r>
    <x v="352"/>
    <x v="69"/>
    <x v="209"/>
    <x v="4"/>
    <x v="324"/>
  </r>
  <r>
    <x v="353"/>
    <x v="134"/>
    <x v="210"/>
    <x v="0"/>
    <x v="325"/>
  </r>
  <r>
    <x v="354"/>
    <x v="101"/>
    <x v="211"/>
    <x v="3"/>
    <x v="326"/>
  </r>
  <r>
    <x v="355"/>
    <x v="168"/>
    <x v="59"/>
    <x v="3"/>
    <x v="327"/>
  </r>
  <r>
    <x v="356"/>
    <x v="121"/>
    <x v="212"/>
    <x v="2"/>
    <x v="328"/>
  </r>
  <r>
    <x v="357"/>
    <x v="52"/>
    <x v="208"/>
    <x v="2"/>
    <x v="329"/>
  </r>
  <r>
    <x v="358"/>
    <x v="82"/>
    <x v="12"/>
    <x v="0"/>
    <x v="330"/>
  </r>
  <r>
    <x v="359"/>
    <x v="106"/>
    <x v="213"/>
    <x v="2"/>
    <x v="331"/>
  </r>
  <r>
    <x v="360"/>
    <x v="36"/>
    <x v="77"/>
    <x v="5"/>
    <x v="332"/>
  </r>
  <r>
    <x v="361"/>
    <x v="186"/>
    <x v="214"/>
    <x v="1"/>
    <x v="333"/>
  </r>
  <r>
    <x v="362"/>
    <x v="47"/>
    <x v="215"/>
    <x v="1"/>
    <x v="334"/>
  </r>
  <r>
    <x v="363"/>
    <x v="169"/>
    <x v="216"/>
    <x v="1"/>
    <x v="335"/>
  </r>
  <r>
    <x v="364"/>
    <x v="209"/>
    <x v="175"/>
    <x v="0"/>
    <x v="336"/>
  </r>
  <r>
    <x v="365"/>
    <x v="72"/>
    <x v="217"/>
    <x v="0"/>
    <x v="337"/>
  </r>
  <r>
    <x v="366"/>
    <x v="42"/>
    <x v="218"/>
    <x v="4"/>
    <x v="338"/>
  </r>
  <r>
    <x v="367"/>
    <x v="136"/>
    <x v="219"/>
    <x v="1"/>
    <x v="339"/>
  </r>
  <r>
    <x v="368"/>
    <x v="210"/>
    <x v="185"/>
    <x v="5"/>
    <x v="340"/>
  </r>
  <r>
    <x v="369"/>
    <x v="211"/>
    <x v="220"/>
    <x v="2"/>
    <x v="341"/>
  </r>
  <r>
    <x v="370"/>
    <x v="77"/>
    <x v="221"/>
    <x v="5"/>
    <x v="342"/>
  </r>
  <r>
    <x v="371"/>
    <x v="63"/>
    <x v="191"/>
    <x v="2"/>
    <x v="126"/>
  </r>
  <r>
    <x v="372"/>
    <x v="197"/>
    <x v="173"/>
    <x v="1"/>
    <x v="343"/>
  </r>
  <r>
    <x v="373"/>
    <x v="27"/>
    <x v="30"/>
    <x v="1"/>
    <x v="344"/>
  </r>
  <r>
    <x v="374"/>
    <x v="103"/>
    <x v="157"/>
    <x v="1"/>
    <x v="345"/>
  </r>
  <r>
    <x v="375"/>
    <x v="149"/>
    <x v="222"/>
    <x v="0"/>
    <x v="346"/>
  </r>
  <r>
    <x v="376"/>
    <x v="19"/>
    <x v="223"/>
    <x v="2"/>
    <x v="347"/>
  </r>
  <r>
    <x v="377"/>
    <x v="212"/>
    <x v="224"/>
    <x v="0"/>
    <x v="348"/>
  </r>
  <r>
    <x v="378"/>
    <x v="121"/>
    <x v="125"/>
    <x v="0"/>
    <x v="349"/>
  </r>
  <r>
    <x v="379"/>
    <x v="157"/>
    <x v="45"/>
    <x v="3"/>
    <x v="350"/>
  </r>
  <r>
    <x v="380"/>
    <x v="148"/>
    <x v="225"/>
    <x v="5"/>
    <x v="351"/>
  </r>
  <r>
    <x v="381"/>
    <x v="213"/>
    <x v="124"/>
    <x v="5"/>
    <x v="218"/>
  </r>
  <r>
    <x v="382"/>
    <x v="12"/>
    <x v="226"/>
    <x v="4"/>
    <x v="352"/>
  </r>
  <r>
    <x v="383"/>
    <x v="41"/>
    <x v="227"/>
    <x v="0"/>
    <x v="353"/>
  </r>
  <r>
    <x v="384"/>
    <x v="67"/>
    <x v="228"/>
    <x v="2"/>
    <x v="130"/>
  </r>
  <r>
    <x v="385"/>
    <x v="112"/>
    <x v="53"/>
    <x v="3"/>
    <x v="49"/>
  </r>
  <r>
    <x v="386"/>
    <x v="202"/>
    <x v="229"/>
    <x v="3"/>
    <x v="71"/>
  </r>
  <r>
    <x v="387"/>
    <x v="156"/>
    <x v="121"/>
    <x v="5"/>
    <x v="354"/>
  </r>
  <r>
    <x v="388"/>
    <x v="180"/>
    <x v="52"/>
    <x v="0"/>
    <x v="355"/>
  </r>
  <r>
    <x v="389"/>
    <x v="135"/>
    <x v="230"/>
    <x v="4"/>
    <x v="356"/>
  </r>
  <r>
    <x v="390"/>
    <x v="88"/>
    <x v="231"/>
    <x v="0"/>
    <x v="357"/>
  </r>
  <r>
    <x v="391"/>
    <x v="86"/>
    <x v="215"/>
    <x v="1"/>
    <x v="358"/>
  </r>
  <r>
    <x v="392"/>
    <x v="214"/>
    <x v="8"/>
    <x v="0"/>
    <x v="359"/>
  </r>
  <r>
    <x v="393"/>
    <x v="51"/>
    <x v="216"/>
    <x v="1"/>
    <x v="360"/>
  </r>
  <r>
    <x v="394"/>
    <x v="55"/>
    <x v="34"/>
    <x v="1"/>
    <x v="361"/>
  </r>
  <r>
    <x v="395"/>
    <x v="178"/>
    <x v="186"/>
    <x v="4"/>
    <x v="362"/>
  </r>
  <r>
    <x v="396"/>
    <x v="85"/>
    <x v="232"/>
    <x v="2"/>
    <x v="363"/>
  </r>
  <r>
    <x v="397"/>
    <x v="1"/>
    <x v="88"/>
    <x v="5"/>
    <x v="364"/>
  </r>
  <r>
    <x v="398"/>
    <x v="210"/>
    <x v="32"/>
    <x v="0"/>
    <x v="365"/>
  </r>
  <r>
    <x v="399"/>
    <x v="202"/>
    <x v="233"/>
    <x v="1"/>
    <x v="366"/>
  </r>
  <r>
    <x v="400"/>
    <x v="196"/>
    <x v="15"/>
    <x v="0"/>
    <x v="367"/>
  </r>
  <r>
    <x v="401"/>
    <x v="215"/>
    <x v="23"/>
    <x v="2"/>
    <x v="368"/>
  </r>
  <r>
    <x v="402"/>
    <x v="183"/>
    <x v="212"/>
    <x v="5"/>
    <x v="50"/>
  </r>
  <r>
    <x v="403"/>
    <x v="111"/>
    <x v="216"/>
    <x v="2"/>
    <x v="369"/>
  </r>
  <r>
    <x v="404"/>
    <x v="140"/>
    <x v="234"/>
    <x v="5"/>
    <x v="370"/>
  </r>
  <r>
    <x v="405"/>
    <x v="216"/>
    <x v="149"/>
    <x v="3"/>
    <x v="371"/>
  </r>
  <r>
    <x v="406"/>
    <x v="84"/>
    <x v="30"/>
    <x v="5"/>
    <x v="372"/>
  </r>
  <r>
    <x v="407"/>
    <x v="217"/>
    <x v="168"/>
    <x v="4"/>
    <x v="373"/>
  </r>
  <r>
    <x v="408"/>
    <x v="145"/>
    <x v="2"/>
    <x v="2"/>
    <x v="374"/>
  </r>
  <r>
    <x v="409"/>
    <x v="196"/>
    <x v="59"/>
    <x v="1"/>
    <x v="375"/>
  </r>
  <r>
    <x v="410"/>
    <x v="51"/>
    <x v="107"/>
    <x v="3"/>
    <x v="376"/>
  </r>
  <r>
    <x v="411"/>
    <x v="94"/>
    <x v="53"/>
    <x v="4"/>
    <x v="377"/>
  </r>
  <r>
    <x v="412"/>
    <x v="218"/>
    <x v="50"/>
    <x v="0"/>
    <x v="378"/>
  </r>
  <r>
    <x v="413"/>
    <x v="18"/>
    <x v="179"/>
    <x v="2"/>
    <x v="304"/>
  </r>
  <r>
    <x v="414"/>
    <x v="219"/>
    <x v="134"/>
    <x v="1"/>
    <x v="379"/>
  </r>
  <r>
    <x v="415"/>
    <x v="220"/>
    <x v="109"/>
    <x v="5"/>
    <x v="380"/>
  </r>
  <r>
    <x v="416"/>
    <x v="18"/>
    <x v="0"/>
    <x v="1"/>
    <x v="381"/>
  </r>
  <r>
    <x v="417"/>
    <x v="144"/>
    <x v="235"/>
    <x v="0"/>
    <x v="382"/>
  </r>
  <r>
    <x v="418"/>
    <x v="136"/>
    <x v="236"/>
    <x v="3"/>
    <x v="317"/>
  </r>
  <r>
    <x v="419"/>
    <x v="221"/>
    <x v="196"/>
    <x v="3"/>
    <x v="383"/>
  </r>
  <r>
    <x v="420"/>
    <x v="114"/>
    <x v="237"/>
    <x v="2"/>
    <x v="384"/>
  </r>
  <r>
    <x v="421"/>
    <x v="222"/>
    <x v="238"/>
    <x v="3"/>
    <x v="385"/>
  </r>
  <r>
    <x v="422"/>
    <x v="223"/>
    <x v="223"/>
    <x v="2"/>
    <x v="386"/>
  </r>
  <r>
    <x v="423"/>
    <x v="124"/>
    <x v="239"/>
    <x v="2"/>
    <x v="387"/>
  </r>
  <r>
    <x v="424"/>
    <x v="181"/>
    <x v="172"/>
    <x v="2"/>
    <x v="388"/>
  </r>
  <r>
    <x v="425"/>
    <x v="88"/>
    <x v="165"/>
    <x v="5"/>
    <x v="389"/>
  </r>
  <r>
    <x v="426"/>
    <x v="48"/>
    <x v="240"/>
    <x v="4"/>
    <x v="390"/>
  </r>
  <r>
    <x v="427"/>
    <x v="191"/>
    <x v="167"/>
    <x v="2"/>
    <x v="391"/>
  </r>
  <r>
    <x v="428"/>
    <x v="198"/>
    <x v="60"/>
    <x v="2"/>
    <x v="288"/>
  </r>
  <r>
    <x v="429"/>
    <x v="224"/>
    <x v="193"/>
    <x v="4"/>
    <x v="392"/>
  </r>
  <r>
    <x v="430"/>
    <x v="194"/>
    <x v="170"/>
    <x v="1"/>
    <x v="393"/>
  </r>
  <r>
    <x v="431"/>
    <x v="88"/>
    <x v="241"/>
    <x v="2"/>
    <x v="394"/>
  </r>
  <r>
    <x v="432"/>
    <x v="201"/>
    <x v="183"/>
    <x v="5"/>
    <x v="295"/>
  </r>
  <r>
    <x v="433"/>
    <x v="52"/>
    <x v="242"/>
    <x v="3"/>
    <x v="395"/>
  </r>
  <r>
    <x v="434"/>
    <x v="39"/>
    <x v="243"/>
    <x v="3"/>
    <x v="396"/>
  </r>
  <r>
    <x v="435"/>
    <x v="81"/>
    <x v="52"/>
    <x v="0"/>
    <x v="397"/>
  </r>
  <r>
    <x v="436"/>
    <x v="34"/>
    <x v="212"/>
    <x v="0"/>
    <x v="398"/>
  </r>
  <r>
    <x v="437"/>
    <x v="165"/>
    <x v="49"/>
    <x v="3"/>
    <x v="399"/>
  </r>
  <r>
    <x v="438"/>
    <x v="48"/>
    <x v="244"/>
    <x v="3"/>
    <x v="277"/>
  </r>
  <r>
    <x v="439"/>
    <x v="211"/>
    <x v="245"/>
    <x v="5"/>
    <x v="400"/>
  </r>
  <r>
    <x v="440"/>
    <x v="225"/>
    <x v="145"/>
    <x v="4"/>
    <x v="401"/>
  </r>
  <r>
    <x v="441"/>
    <x v="226"/>
    <x v="246"/>
    <x v="0"/>
    <x v="402"/>
  </r>
  <r>
    <x v="442"/>
    <x v="169"/>
    <x v="217"/>
    <x v="4"/>
    <x v="403"/>
  </r>
  <r>
    <x v="443"/>
    <x v="227"/>
    <x v="86"/>
    <x v="5"/>
    <x v="45"/>
  </r>
  <r>
    <x v="444"/>
    <x v="80"/>
    <x v="212"/>
    <x v="3"/>
    <x v="404"/>
  </r>
  <r>
    <x v="445"/>
    <x v="46"/>
    <x v="7"/>
    <x v="2"/>
    <x v="405"/>
  </r>
  <r>
    <x v="446"/>
    <x v="75"/>
    <x v="247"/>
    <x v="4"/>
    <x v="196"/>
  </r>
  <r>
    <x v="447"/>
    <x v="228"/>
    <x v="248"/>
    <x v="3"/>
    <x v="406"/>
  </r>
  <r>
    <x v="448"/>
    <x v="165"/>
    <x v="249"/>
    <x v="3"/>
    <x v="407"/>
  </r>
  <r>
    <x v="449"/>
    <x v="83"/>
    <x v="119"/>
    <x v="1"/>
    <x v="408"/>
  </r>
  <r>
    <x v="450"/>
    <x v="229"/>
    <x v="156"/>
    <x v="4"/>
    <x v="409"/>
  </r>
  <r>
    <x v="451"/>
    <x v="0"/>
    <x v="250"/>
    <x v="2"/>
    <x v="211"/>
  </r>
  <r>
    <x v="452"/>
    <x v="230"/>
    <x v="99"/>
    <x v="4"/>
    <x v="410"/>
  </r>
  <r>
    <x v="453"/>
    <x v="32"/>
    <x v="44"/>
    <x v="3"/>
    <x v="411"/>
  </r>
  <r>
    <x v="454"/>
    <x v="4"/>
    <x v="75"/>
    <x v="2"/>
    <x v="412"/>
  </r>
  <r>
    <x v="455"/>
    <x v="142"/>
    <x v="251"/>
    <x v="5"/>
    <x v="413"/>
  </r>
  <r>
    <x v="456"/>
    <x v="72"/>
    <x v="5"/>
    <x v="1"/>
    <x v="282"/>
  </r>
  <r>
    <x v="457"/>
    <x v="121"/>
    <x v="20"/>
    <x v="3"/>
    <x v="236"/>
  </r>
  <r>
    <x v="458"/>
    <x v="114"/>
    <x v="252"/>
    <x v="0"/>
    <x v="414"/>
  </r>
  <r>
    <x v="459"/>
    <x v="171"/>
    <x v="253"/>
    <x v="0"/>
    <x v="415"/>
  </r>
  <r>
    <x v="460"/>
    <x v="231"/>
    <x v="1"/>
    <x v="1"/>
    <x v="416"/>
  </r>
  <r>
    <x v="461"/>
    <x v="163"/>
    <x v="157"/>
    <x v="5"/>
    <x v="219"/>
  </r>
  <r>
    <x v="462"/>
    <x v="229"/>
    <x v="254"/>
    <x v="3"/>
    <x v="417"/>
  </r>
  <r>
    <x v="463"/>
    <x v="201"/>
    <x v="255"/>
    <x v="4"/>
    <x v="418"/>
  </r>
  <r>
    <x v="464"/>
    <x v="2"/>
    <x v="165"/>
    <x v="1"/>
    <x v="419"/>
  </r>
  <r>
    <x v="465"/>
    <x v="34"/>
    <x v="129"/>
    <x v="5"/>
    <x v="129"/>
  </r>
  <r>
    <x v="466"/>
    <x v="49"/>
    <x v="256"/>
    <x v="4"/>
    <x v="420"/>
  </r>
  <r>
    <x v="467"/>
    <x v="69"/>
    <x v="257"/>
    <x v="0"/>
    <x v="421"/>
  </r>
  <r>
    <x v="468"/>
    <x v="222"/>
    <x v="153"/>
    <x v="0"/>
    <x v="422"/>
  </r>
  <r>
    <x v="469"/>
    <x v="232"/>
    <x v="252"/>
    <x v="4"/>
    <x v="423"/>
  </r>
  <r>
    <x v="470"/>
    <x v="196"/>
    <x v="238"/>
    <x v="1"/>
    <x v="424"/>
  </r>
  <r>
    <x v="471"/>
    <x v="216"/>
    <x v="258"/>
    <x v="0"/>
    <x v="425"/>
  </r>
  <r>
    <x v="472"/>
    <x v="147"/>
    <x v="192"/>
    <x v="3"/>
    <x v="426"/>
  </r>
  <r>
    <x v="473"/>
    <x v="36"/>
    <x v="259"/>
    <x v="2"/>
    <x v="427"/>
  </r>
  <r>
    <x v="474"/>
    <x v="233"/>
    <x v="64"/>
    <x v="4"/>
    <x v="428"/>
  </r>
  <r>
    <x v="475"/>
    <x v="180"/>
    <x v="260"/>
    <x v="4"/>
    <x v="429"/>
  </r>
  <r>
    <x v="476"/>
    <x v="25"/>
    <x v="173"/>
    <x v="0"/>
    <x v="430"/>
  </r>
  <r>
    <x v="477"/>
    <x v="234"/>
    <x v="11"/>
    <x v="1"/>
    <x v="311"/>
  </r>
  <r>
    <x v="478"/>
    <x v="64"/>
    <x v="91"/>
    <x v="3"/>
    <x v="431"/>
  </r>
  <r>
    <x v="479"/>
    <x v="94"/>
    <x v="180"/>
    <x v="1"/>
    <x v="432"/>
  </r>
  <r>
    <x v="480"/>
    <x v="19"/>
    <x v="120"/>
    <x v="5"/>
    <x v="132"/>
  </r>
  <r>
    <x v="481"/>
    <x v="161"/>
    <x v="261"/>
    <x v="5"/>
    <x v="89"/>
  </r>
  <r>
    <x v="482"/>
    <x v="165"/>
    <x v="262"/>
    <x v="2"/>
    <x v="433"/>
  </r>
  <r>
    <x v="483"/>
    <x v="215"/>
    <x v="263"/>
    <x v="0"/>
    <x v="434"/>
  </r>
  <r>
    <x v="484"/>
    <x v="171"/>
    <x v="264"/>
    <x v="0"/>
    <x v="435"/>
  </r>
  <r>
    <x v="485"/>
    <x v="172"/>
    <x v="221"/>
    <x v="0"/>
    <x v="436"/>
  </r>
  <r>
    <x v="486"/>
    <x v="106"/>
    <x v="162"/>
    <x v="2"/>
    <x v="437"/>
  </r>
  <r>
    <x v="487"/>
    <x v="4"/>
    <x v="11"/>
    <x v="5"/>
    <x v="438"/>
  </r>
  <r>
    <x v="488"/>
    <x v="165"/>
    <x v="249"/>
    <x v="1"/>
    <x v="439"/>
  </r>
  <r>
    <x v="489"/>
    <x v="235"/>
    <x v="149"/>
    <x v="2"/>
    <x v="345"/>
  </r>
  <r>
    <x v="490"/>
    <x v="14"/>
    <x v="211"/>
    <x v="2"/>
    <x v="36"/>
  </r>
  <r>
    <x v="491"/>
    <x v="111"/>
    <x v="263"/>
    <x v="1"/>
    <x v="252"/>
  </r>
  <r>
    <x v="492"/>
    <x v="212"/>
    <x v="170"/>
    <x v="0"/>
    <x v="440"/>
  </r>
  <r>
    <x v="493"/>
    <x v="107"/>
    <x v="119"/>
    <x v="3"/>
    <x v="185"/>
  </r>
  <r>
    <x v="494"/>
    <x v="236"/>
    <x v="108"/>
    <x v="1"/>
    <x v="441"/>
  </r>
  <r>
    <x v="495"/>
    <x v="212"/>
    <x v="162"/>
    <x v="5"/>
    <x v="45"/>
  </r>
  <r>
    <x v="496"/>
    <x v="237"/>
    <x v="200"/>
    <x v="4"/>
    <x v="442"/>
  </r>
  <r>
    <x v="497"/>
    <x v="168"/>
    <x v="265"/>
    <x v="4"/>
    <x v="443"/>
  </r>
  <r>
    <x v="498"/>
    <x v="131"/>
    <x v="77"/>
    <x v="2"/>
    <x v="444"/>
  </r>
  <r>
    <x v="499"/>
    <x v="172"/>
    <x v="266"/>
    <x v="4"/>
    <x v="445"/>
  </r>
  <r>
    <x v="500"/>
    <x v="120"/>
    <x v="157"/>
    <x v="3"/>
    <x v="446"/>
  </r>
  <r>
    <x v="501"/>
    <x v="74"/>
    <x v="17"/>
    <x v="0"/>
    <x v="447"/>
  </r>
  <r>
    <x v="502"/>
    <x v="238"/>
    <x v="126"/>
    <x v="5"/>
    <x v="448"/>
  </r>
  <r>
    <x v="503"/>
    <x v="239"/>
    <x v="51"/>
    <x v="3"/>
    <x v="363"/>
  </r>
  <r>
    <x v="504"/>
    <x v="172"/>
    <x v="13"/>
    <x v="5"/>
    <x v="449"/>
  </r>
  <r>
    <x v="505"/>
    <x v="172"/>
    <x v="267"/>
    <x v="5"/>
    <x v="450"/>
  </r>
  <r>
    <x v="506"/>
    <x v="37"/>
    <x v="90"/>
    <x v="0"/>
    <x v="451"/>
  </r>
  <r>
    <x v="507"/>
    <x v="58"/>
    <x v="98"/>
    <x v="2"/>
    <x v="63"/>
  </r>
  <r>
    <x v="508"/>
    <x v="230"/>
    <x v="115"/>
    <x v="4"/>
    <x v="452"/>
  </r>
  <r>
    <x v="509"/>
    <x v="69"/>
    <x v="107"/>
    <x v="0"/>
    <x v="453"/>
  </r>
  <r>
    <x v="510"/>
    <x v="153"/>
    <x v="97"/>
    <x v="3"/>
    <x v="44"/>
  </r>
  <r>
    <x v="511"/>
    <x v="8"/>
    <x v="208"/>
    <x v="2"/>
    <x v="75"/>
  </r>
  <r>
    <x v="512"/>
    <x v="91"/>
    <x v="83"/>
    <x v="3"/>
    <x v="454"/>
  </r>
  <r>
    <x v="513"/>
    <x v="169"/>
    <x v="268"/>
    <x v="2"/>
    <x v="455"/>
  </r>
  <r>
    <x v="514"/>
    <x v="169"/>
    <x v="269"/>
    <x v="3"/>
    <x v="456"/>
  </r>
  <r>
    <x v="515"/>
    <x v="240"/>
    <x v="270"/>
    <x v="0"/>
    <x v="457"/>
  </r>
  <r>
    <x v="516"/>
    <x v="216"/>
    <x v="65"/>
    <x v="2"/>
    <x v="243"/>
  </r>
  <r>
    <x v="517"/>
    <x v="241"/>
    <x v="257"/>
    <x v="2"/>
    <x v="458"/>
  </r>
  <r>
    <x v="518"/>
    <x v="192"/>
    <x v="271"/>
    <x v="5"/>
    <x v="226"/>
  </r>
  <r>
    <x v="519"/>
    <x v="215"/>
    <x v="206"/>
    <x v="5"/>
    <x v="459"/>
  </r>
  <r>
    <x v="520"/>
    <x v="242"/>
    <x v="204"/>
    <x v="1"/>
    <x v="460"/>
  </r>
  <r>
    <x v="521"/>
    <x v="243"/>
    <x v="25"/>
    <x v="3"/>
    <x v="240"/>
  </r>
  <r>
    <x v="522"/>
    <x v="156"/>
    <x v="47"/>
    <x v="5"/>
    <x v="461"/>
  </r>
  <r>
    <x v="523"/>
    <x v="149"/>
    <x v="54"/>
    <x v="1"/>
    <x v="462"/>
  </r>
  <r>
    <x v="524"/>
    <x v="87"/>
    <x v="8"/>
    <x v="5"/>
    <x v="463"/>
  </r>
  <r>
    <x v="525"/>
    <x v="177"/>
    <x v="272"/>
    <x v="3"/>
    <x v="141"/>
  </r>
  <r>
    <x v="526"/>
    <x v="241"/>
    <x v="273"/>
    <x v="2"/>
    <x v="236"/>
  </r>
  <r>
    <x v="527"/>
    <x v="143"/>
    <x v="53"/>
    <x v="4"/>
    <x v="464"/>
  </r>
  <r>
    <x v="528"/>
    <x v="244"/>
    <x v="274"/>
    <x v="3"/>
    <x v="465"/>
  </r>
  <r>
    <x v="529"/>
    <x v="45"/>
    <x v="273"/>
    <x v="0"/>
    <x v="466"/>
  </r>
  <r>
    <x v="530"/>
    <x v="232"/>
    <x v="275"/>
    <x v="5"/>
    <x v="467"/>
  </r>
  <r>
    <x v="531"/>
    <x v="124"/>
    <x v="276"/>
    <x v="5"/>
    <x v="468"/>
  </r>
  <r>
    <x v="532"/>
    <x v="51"/>
    <x v="235"/>
    <x v="2"/>
    <x v="74"/>
  </r>
  <r>
    <x v="533"/>
    <x v="157"/>
    <x v="23"/>
    <x v="0"/>
    <x v="469"/>
  </r>
  <r>
    <x v="534"/>
    <x v="245"/>
    <x v="214"/>
    <x v="2"/>
    <x v="470"/>
  </r>
  <r>
    <x v="535"/>
    <x v="246"/>
    <x v="184"/>
    <x v="0"/>
    <x v="471"/>
  </r>
  <r>
    <x v="536"/>
    <x v="247"/>
    <x v="78"/>
    <x v="4"/>
    <x v="472"/>
  </r>
  <r>
    <x v="537"/>
    <x v="204"/>
    <x v="21"/>
    <x v="5"/>
    <x v="163"/>
  </r>
  <r>
    <x v="538"/>
    <x v="39"/>
    <x v="277"/>
    <x v="5"/>
    <x v="473"/>
  </r>
  <r>
    <x v="539"/>
    <x v="120"/>
    <x v="278"/>
    <x v="4"/>
    <x v="474"/>
  </r>
  <r>
    <x v="540"/>
    <x v="7"/>
    <x v="261"/>
    <x v="1"/>
    <x v="475"/>
  </r>
  <r>
    <x v="541"/>
    <x v="189"/>
    <x v="20"/>
    <x v="2"/>
    <x v="476"/>
  </r>
  <r>
    <x v="542"/>
    <x v="243"/>
    <x v="106"/>
    <x v="4"/>
    <x v="477"/>
  </r>
  <r>
    <x v="543"/>
    <x v="130"/>
    <x v="279"/>
    <x v="2"/>
    <x v="478"/>
  </r>
  <r>
    <x v="544"/>
    <x v="248"/>
    <x v="103"/>
    <x v="3"/>
    <x v="164"/>
  </r>
  <r>
    <x v="545"/>
    <x v="109"/>
    <x v="124"/>
    <x v="5"/>
    <x v="479"/>
  </r>
  <r>
    <x v="546"/>
    <x v="148"/>
    <x v="119"/>
    <x v="2"/>
    <x v="6"/>
  </r>
  <r>
    <x v="547"/>
    <x v="156"/>
    <x v="13"/>
    <x v="0"/>
    <x v="480"/>
  </r>
  <r>
    <x v="548"/>
    <x v="249"/>
    <x v="175"/>
    <x v="2"/>
    <x v="481"/>
  </r>
  <r>
    <x v="549"/>
    <x v="250"/>
    <x v="32"/>
    <x v="3"/>
    <x v="482"/>
  </r>
  <r>
    <x v="550"/>
    <x v="248"/>
    <x v="155"/>
    <x v="5"/>
    <x v="100"/>
  </r>
  <r>
    <x v="551"/>
    <x v="120"/>
    <x v="182"/>
    <x v="4"/>
    <x v="483"/>
  </r>
  <r>
    <x v="552"/>
    <x v="24"/>
    <x v="97"/>
    <x v="3"/>
    <x v="238"/>
  </r>
  <r>
    <x v="553"/>
    <x v="132"/>
    <x v="280"/>
    <x v="5"/>
    <x v="484"/>
  </r>
  <r>
    <x v="554"/>
    <x v="236"/>
    <x v="125"/>
    <x v="2"/>
    <x v="406"/>
  </r>
  <r>
    <x v="555"/>
    <x v="176"/>
    <x v="246"/>
    <x v="1"/>
    <x v="485"/>
  </r>
  <r>
    <x v="556"/>
    <x v="62"/>
    <x v="78"/>
    <x v="1"/>
    <x v="328"/>
  </r>
  <r>
    <x v="557"/>
    <x v="251"/>
    <x v="223"/>
    <x v="0"/>
    <x v="486"/>
  </r>
  <r>
    <x v="558"/>
    <x v="185"/>
    <x v="281"/>
    <x v="5"/>
    <x v="487"/>
  </r>
  <r>
    <x v="559"/>
    <x v="252"/>
    <x v="135"/>
    <x v="1"/>
    <x v="488"/>
  </r>
  <r>
    <x v="560"/>
    <x v="109"/>
    <x v="219"/>
    <x v="4"/>
    <x v="489"/>
  </r>
  <r>
    <x v="561"/>
    <x v="204"/>
    <x v="100"/>
    <x v="5"/>
    <x v="77"/>
  </r>
  <r>
    <x v="562"/>
    <x v="191"/>
    <x v="282"/>
    <x v="4"/>
    <x v="490"/>
  </r>
  <r>
    <x v="563"/>
    <x v="253"/>
    <x v="78"/>
    <x v="4"/>
    <x v="491"/>
  </r>
  <r>
    <x v="564"/>
    <x v="147"/>
    <x v="216"/>
    <x v="1"/>
    <x v="174"/>
  </r>
  <r>
    <x v="565"/>
    <x v="85"/>
    <x v="127"/>
    <x v="5"/>
    <x v="84"/>
  </r>
  <r>
    <x v="566"/>
    <x v="27"/>
    <x v="283"/>
    <x v="2"/>
    <x v="492"/>
  </r>
  <r>
    <x v="567"/>
    <x v="252"/>
    <x v="279"/>
    <x v="3"/>
    <x v="493"/>
  </r>
  <r>
    <x v="568"/>
    <x v="128"/>
    <x v="11"/>
    <x v="1"/>
    <x v="494"/>
  </r>
  <r>
    <x v="569"/>
    <x v="115"/>
    <x v="141"/>
    <x v="1"/>
    <x v="495"/>
  </r>
  <r>
    <x v="570"/>
    <x v="254"/>
    <x v="254"/>
    <x v="2"/>
    <x v="188"/>
  </r>
  <r>
    <x v="571"/>
    <x v="193"/>
    <x v="48"/>
    <x v="5"/>
    <x v="496"/>
  </r>
  <r>
    <x v="572"/>
    <x v="111"/>
    <x v="130"/>
    <x v="5"/>
    <x v="222"/>
  </r>
  <r>
    <x v="573"/>
    <x v="196"/>
    <x v="55"/>
    <x v="4"/>
    <x v="497"/>
  </r>
  <r>
    <x v="574"/>
    <x v="149"/>
    <x v="211"/>
    <x v="2"/>
    <x v="498"/>
  </r>
  <r>
    <x v="575"/>
    <x v="94"/>
    <x v="118"/>
    <x v="2"/>
    <x v="499"/>
  </r>
  <r>
    <x v="576"/>
    <x v="255"/>
    <x v="284"/>
    <x v="5"/>
    <x v="216"/>
  </r>
  <r>
    <x v="577"/>
    <x v="53"/>
    <x v="165"/>
    <x v="4"/>
    <x v="500"/>
  </r>
  <r>
    <x v="578"/>
    <x v="256"/>
    <x v="252"/>
    <x v="1"/>
    <x v="501"/>
  </r>
  <r>
    <x v="579"/>
    <x v="257"/>
    <x v="103"/>
    <x v="0"/>
    <x v="502"/>
  </r>
  <r>
    <x v="580"/>
    <x v="209"/>
    <x v="285"/>
    <x v="3"/>
    <x v="503"/>
  </r>
  <r>
    <x v="581"/>
    <x v="165"/>
    <x v="50"/>
    <x v="1"/>
    <x v="381"/>
  </r>
  <r>
    <x v="582"/>
    <x v="115"/>
    <x v="175"/>
    <x v="5"/>
    <x v="504"/>
  </r>
  <r>
    <x v="583"/>
    <x v="178"/>
    <x v="165"/>
    <x v="3"/>
    <x v="505"/>
  </r>
  <r>
    <x v="584"/>
    <x v="231"/>
    <x v="286"/>
    <x v="0"/>
    <x v="506"/>
  </r>
  <r>
    <x v="585"/>
    <x v="51"/>
    <x v="173"/>
    <x v="0"/>
    <x v="507"/>
  </r>
  <r>
    <x v="586"/>
    <x v="258"/>
    <x v="287"/>
    <x v="4"/>
    <x v="508"/>
  </r>
  <r>
    <x v="587"/>
    <x v="115"/>
    <x v="205"/>
    <x v="3"/>
    <x v="509"/>
  </r>
  <r>
    <x v="588"/>
    <x v="57"/>
    <x v="114"/>
    <x v="4"/>
    <x v="510"/>
  </r>
  <r>
    <x v="589"/>
    <x v="108"/>
    <x v="232"/>
    <x v="1"/>
    <x v="511"/>
  </r>
  <r>
    <x v="590"/>
    <x v="42"/>
    <x v="211"/>
    <x v="2"/>
    <x v="329"/>
  </r>
  <r>
    <x v="591"/>
    <x v="9"/>
    <x v="7"/>
    <x v="2"/>
    <x v="512"/>
  </r>
  <r>
    <x v="592"/>
    <x v="128"/>
    <x v="288"/>
    <x v="2"/>
    <x v="513"/>
  </r>
  <r>
    <x v="593"/>
    <x v="10"/>
    <x v="90"/>
    <x v="3"/>
    <x v="514"/>
  </r>
  <r>
    <x v="594"/>
    <x v="253"/>
    <x v="8"/>
    <x v="2"/>
    <x v="515"/>
  </r>
  <r>
    <x v="595"/>
    <x v="184"/>
    <x v="289"/>
    <x v="1"/>
    <x v="441"/>
  </r>
  <r>
    <x v="596"/>
    <x v="161"/>
    <x v="290"/>
    <x v="4"/>
    <x v="516"/>
  </r>
  <r>
    <x v="597"/>
    <x v="18"/>
    <x v="9"/>
    <x v="3"/>
    <x v="517"/>
  </r>
  <r>
    <x v="598"/>
    <x v="91"/>
    <x v="291"/>
    <x v="4"/>
    <x v="518"/>
  </r>
  <r>
    <x v="599"/>
    <x v="259"/>
    <x v="248"/>
    <x v="3"/>
    <x v="519"/>
  </r>
  <r>
    <x v="600"/>
    <x v="10"/>
    <x v="254"/>
    <x v="4"/>
    <x v="520"/>
  </r>
  <r>
    <x v="601"/>
    <x v="230"/>
    <x v="85"/>
    <x v="0"/>
    <x v="521"/>
  </r>
  <r>
    <x v="602"/>
    <x v="153"/>
    <x v="292"/>
    <x v="4"/>
    <x v="12"/>
  </r>
  <r>
    <x v="603"/>
    <x v="97"/>
    <x v="25"/>
    <x v="2"/>
    <x v="522"/>
  </r>
  <r>
    <x v="604"/>
    <x v="257"/>
    <x v="195"/>
    <x v="0"/>
    <x v="523"/>
  </r>
  <r>
    <x v="605"/>
    <x v="55"/>
    <x v="293"/>
    <x v="4"/>
    <x v="524"/>
  </r>
  <r>
    <x v="606"/>
    <x v="137"/>
    <x v="213"/>
    <x v="3"/>
    <x v="525"/>
  </r>
  <r>
    <x v="607"/>
    <x v="249"/>
    <x v="294"/>
    <x v="3"/>
    <x v="526"/>
  </r>
  <r>
    <x v="608"/>
    <x v="173"/>
    <x v="268"/>
    <x v="3"/>
    <x v="527"/>
  </r>
  <r>
    <x v="609"/>
    <x v="167"/>
    <x v="30"/>
    <x v="5"/>
    <x v="528"/>
  </r>
  <r>
    <x v="610"/>
    <x v="204"/>
    <x v="112"/>
    <x v="1"/>
    <x v="529"/>
  </r>
  <r>
    <x v="611"/>
    <x v="217"/>
    <x v="7"/>
    <x v="3"/>
    <x v="530"/>
  </r>
  <r>
    <x v="612"/>
    <x v="258"/>
    <x v="187"/>
    <x v="0"/>
    <x v="531"/>
  </r>
  <r>
    <x v="613"/>
    <x v="260"/>
    <x v="109"/>
    <x v="3"/>
    <x v="532"/>
  </r>
  <r>
    <x v="614"/>
    <x v="184"/>
    <x v="123"/>
    <x v="5"/>
    <x v="533"/>
  </r>
  <r>
    <x v="615"/>
    <x v="227"/>
    <x v="146"/>
    <x v="2"/>
    <x v="534"/>
  </r>
  <r>
    <x v="616"/>
    <x v="24"/>
    <x v="284"/>
    <x v="0"/>
    <x v="535"/>
  </r>
  <r>
    <x v="617"/>
    <x v="49"/>
    <x v="87"/>
    <x v="5"/>
    <x v="102"/>
  </r>
  <r>
    <x v="618"/>
    <x v="261"/>
    <x v="196"/>
    <x v="2"/>
    <x v="71"/>
  </r>
  <r>
    <x v="619"/>
    <x v="139"/>
    <x v="228"/>
    <x v="0"/>
    <x v="536"/>
  </r>
  <r>
    <x v="620"/>
    <x v="256"/>
    <x v="216"/>
    <x v="4"/>
    <x v="215"/>
  </r>
  <r>
    <x v="621"/>
    <x v="184"/>
    <x v="241"/>
    <x v="1"/>
    <x v="537"/>
  </r>
  <r>
    <x v="622"/>
    <x v="262"/>
    <x v="84"/>
    <x v="1"/>
    <x v="538"/>
  </r>
  <r>
    <x v="623"/>
    <x v="263"/>
    <x v="78"/>
    <x v="5"/>
    <x v="539"/>
  </r>
  <r>
    <x v="624"/>
    <x v="211"/>
    <x v="82"/>
    <x v="2"/>
    <x v="540"/>
  </r>
  <r>
    <x v="625"/>
    <x v="192"/>
    <x v="295"/>
    <x v="1"/>
    <x v="541"/>
  </r>
  <r>
    <x v="626"/>
    <x v="264"/>
    <x v="296"/>
    <x v="2"/>
    <x v="542"/>
  </r>
  <r>
    <x v="627"/>
    <x v="189"/>
    <x v="297"/>
    <x v="2"/>
    <x v="543"/>
  </r>
  <r>
    <x v="628"/>
    <x v="55"/>
    <x v="71"/>
    <x v="5"/>
    <x v="544"/>
  </r>
  <r>
    <x v="629"/>
    <x v="48"/>
    <x v="243"/>
    <x v="5"/>
    <x v="545"/>
  </r>
  <r>
    <x v="630"/>
    <x v="132"/>
    <x v="35"/>
    <x v="5"/>
    <x v="539"/>
  </r>
  <r>
    <x v="631"/>
    <x v="246"/>
    <x v="298"/>
    <x v="1"/>
    <x v="546"/>
  </r>
  <r>
    <x v="632"/>
    <x v="12"/>
    <x v="42"/>
    <x v="5"/>
    <x v="450"/>
  </r>
  <r>
    <x v="633"/>
    <x v="18"/>
    <x v="299"/>
    <x v="1"/>
    <x v="335"/>
  </r>
  <r>
    <x v="634"/>
    <x v="68"/>
    <x v="67"/>
    <x v="5"/>
    <x v="260"/>
  </r>
  <r>
    <x v="635"/>
    <x v="171"/>
    <x v="49"/>
    <x v="3"/>
    <x v="277"/>
  </r>
  <r>
    <x v="636"/>
    <x v="133"/>
    <x v="283"/>
    <x v="2"/>
    <x v="140"/>
  </r>
  <r>
    <x v="637"/>
    <x v="96"/>
    <x v="173"/>
    <x v="5"/>
    <x v="132"/>
  </r>
  <r>
    <x v="638"/>
    <x v="103"/>
    <x v="156"/>
    <x v="0"/>
    <x v="547"/>
  </r>
  <r>
    <x v="639"/>
    <x v="227"/>
    <x v="226"/>
    <x v="2"/>
    <x v="92"/>
  </r>
  <r>
    <x v="640"/>
    <x v="190"/>
    <x v="294"/>
    <x v="2"/>
    <x v="82"/>
  </r>
  <r>
    <x v="641"/>
    <x v="265"/>
    <x v="47"/>
    <x v="5"/>
    <x v="340"/>
  </r>
  <r>
    <x v="642"/>
    <x v="170"/>
    <x v="153"/>
    <x v="4"/>
    <x v="12"/>
  </r>
  <r>
    <x v="643"/>
    <x v="227"/>
    <x v="156"/>
    <x v="5"/>
    <x v="274"/>
  </r>
  <r>
    <x v="644"/>
    <x v="266"/>
    <x v="212"/>
    <x v="2"/>
    <x v="548"/>
  </r>
  <r>
    <x v="645"/>
    <x v="217"/>
    <x v="169"/>
    <x v="0"/>
    <x v="549"/>
  </r>
  <r>
    <x v="646"/>
    <x v="16"/>
    <x v="199"/>
    <x v="2"/>
    <x v="550"/>
  </r>
  <r>
    <x v="647"/>
    <x v="133"/>
    <x v="281"/>
    <x v="0"/>
    <x v="551"/>
  </r>
  <r>
    <x v="648"/>
    <x v="123"/>
    <x v="247"/>
    <x v="1"/>
    <x v="552"/>
  </r>
  <r>
    <x v="649"/>
    <x v="81"/>
    <x v="137"/>
    <x v="3"/>
    <x v="553"/>
  </r>
  <r>
    <x v="650"/>
    <x v="200"/>
    <x v="32"/>
    <x v="2"/>
    <x v="554"/>
  </r>
  <r>
    <x v="651"/>
    <x v="58"/>
    <x v="63"/>
    <x v="5"/>
    <x v="448"/>
  </r>
  <r>
    <x v="652"/>
    <x v="203"/>
    <x v="300"/>
    <x v="1"/>
    <x v="495"/>
  </r>
  <r>
    <x v="653"/>
    <x v="25"/>
    <x v="245"/>
    <x v="3"/>
    <x v="555"/>
  </r>
  <r>
    <x v="654"/>
    <x v="96"/>
    <x v="133"/>
    <x v="5"/>
    <x v="332"/>
  </r>
  <r>
    <x v="655"/>
    <x v="43"/>
    <x v="212"/>
    <x v="4"/>
    <x v="556"/>
  </r>
  <r>
    <x v="656"/>
    <x v="146"/>
    <x v="65"/>
    <x v="5"/>
    <x v="557"/>
  </r>
  <r>
    <x v="657"/>
    <x v="182"/>
    <x v="226"/>
    <x v="0"/>
    <x v="558"/>
  </r>
  <r>
    <x v="658"/>
    <x v="20"/>
    <x v="126"/>
    <x v="0"/>
    <x v="559"/>
  </r>
  <r>
    <x v="659"/>
    <x v="189"/>
    <x v="226"/>
    <x v="4"/>
    <x v="560"/>
  </r>
  <r>
    <x v="660"/>
    <x v="232"/>
    <x v="199"/>
    <x v="1"/>
    <x v="561"/>
  </r>
  <r>
    <x v="661"/>
    <x v="208"/>
    <x v="301"/>
    <x v="3"/>
    <x v="562"/>
  </r>
  <r>
    <x v="662"/>
    <x v="63"/>
    <x v="302"/>
    <x v="5"/>
    <x v="120"/>
  </r>
  <r>
    <x v="663"/>
    <x v="91"/>
    <x v="303"/>
    <x v="0"/>
    <x v="563"/>
  </r>
  <r>
    <x v="664"/>
    <x v="80"/>
    <x v="73"/>
    <x v="1"/>
    <x v="564"/>
  </r>
  <r>
    <x v="665"/>
    <x v="1"/>
    <x v="159"/>
    <x v="4"/>
    <x v="565"/>
  </r>
  <r>
    <x v="666"/>
    <x v="102"/>
    <x v="71"/>
    <x v="2"/>
    <x v="566"/>
  </r>
  <r>
    <x v="667"/>
    <x v="251"/>
    <x v="244"/>
    <x v="0"/>
    <x v="567"/>
  </r>
  <r>
    <x v="668"/>
    <x v="158"/>
    <x v="278"/>
    <x v="4"/>
    <x v="568"/>
  </r>
  <r>
    <x v="669"/>
    <x v="50"/>
    <x v="106"/>
    <x v="5"/>
    <x v="569"/>
  </r>
  <r>
    <x v="670"/>
    <x v="58"/>
    <x v="170"/>
    <x v="3"/>
    <x v="570"/>
  </r>
  <r>
    <x v="671"/>
    <x v="248"/>
    <x v="227"/>
    <x v="0"/>
    <x v="571"/>
  </r>
  <r>
    <x v="672"/>
    <x v="247"/>
    <x v="238"/>
    <x v="0"/>
    <x v="572"/>
  </r>
  <r>
    <x v="673"/>
    <x v="267"/>
    <x v="141"/>
    <x v="5"/>
    <x v="316"/>
  </r>
  <r>
    <x v="674"/>
    <x v="104"/>
    <x v="234"/>
    <x v="2"/>
    <x v="188"/>
  </r>
  <r>
    <x v="675"/>
    <x v="213"/>
    <x v="46"/>
    <x v="1"/>
    <x v="573"/>
  </r>
  <r>
    <x v="676"/>
    <x v="129"/>
    <x v="121"/>
    <x v="3"/>
    <x v="253"/>
  </r>
  <r>
    <x v="677"/>
    <x v="133"/>
    <x v="247"/>
    <x v="0"/>
    <x v="574"/>
  </r>
  <r>
    <x v="678"/>
    <x v="107"/>
    <x v="59"/>
    <x v="3"/>
    <x v="315"/>
  </r>
  <r>
    <x v="679"/>
    <x v="262"/>
    <x v="142"/>
    <x v="0"/>
    <x v="575"/>
  </r>
  <r>
    <x v="680"/>
    <x v="188"/>
    <x v="165"/>
    <x v="3"/>
    <x v="576"/>
  </r>
  <r>
    <x v="681"/>
    <x v="47"/>
    <x v="271"/>
    <x v="4"/>
    <x v="577"/>
  </r>
  <r>
    <x v="682"/>
    <x v="90"/>
    <x v="269"/>
    <x v="0"/>
    <x v="578"/>
  </r>
  <r>
    <x v="683"/>
    <x v="64"/>
    <x v="155"/>
    <x v="3"/>
    <x v="579"/>
  </r>
  <r>
    <x v="684"/>
    <x v="171"/>
    <x v="251"/>
    <x v="1"/>
    <x v="580"/>
  </r>
  <r>
    <x v="685"/>
    <x v="230"/>
    <x v="304"/>
    <x v="4"/>
    <x v="581"/>
  </r>
  <r>
    <x v="686"/>
    <x v="198"/>
    <x v="305"/>
    <x v="4"/>
    <x v="582"/>
  </r>
  <r>
    <x v="687"/>
    <x v="148"/>
    <x v="306"/>
    <x v="1"/>
    <x v="583"/>
  </r>
  <r>
    <x v="688"/>
    <x v="182"/>
    <x v="7"/>
    <x v="3"/>
    <x v="258"/>
  </r>
  <r>
    <x v="689"/>
    <x v="254"/>
    <x v="137"/>
    <x v="5"/>
    <x v="584"/>
  </r>
  <r>
    <x v="690"/>
    <x v="134"/>
    <x v="278"/>
    <x v="1"/>
    <x v="585"/>
  </r>
  <r>
    <x v="691"/>
    <x v="2"/>
    <x v="273"/>
    <x v="3"/>
    <x v="205"/>
  </r>
  <r>
    <x v="692"/>
    <x v="10"/>
    <x v="87"/>
    <x v="1"/>
    <x v="586"/>
  </r>
  <r>
    <x v="693"/>
    <x v="56"/>
    <x v="232"/>
    <x v="1"/>
    <x v="529"/>
  </r>
  <r>
    <x v="694"/>
    <x v="111"/>
    <x v="45"/>
    <x v="0"/>
    <x v="587"/>
  </r>
  <r>
    <x v="695"/>
    <x v="149"/>
    <x v="267"/>
    <x v="3"/>
    <x v="588"/>
  </r>
  <r>
    <x v="696"/>
    <x v="10"/>
    <x v="94"/>
    <x v="5"/>
    <x v="38"/>
  </r>
  <r>
    <x v="697"/>
    <x v="260"/>
    <x v="153"/>
    <x v="0"/>
    <x v="153"/>
  </r>
  <r>
    <x v="698"/>
    <x v="253"/>
    <x v="261"/>
    <x v="1"/>
    <x v="589"/>
  </r>
  <r>
    <x v="699"/>
    <x v="222"/>
    <x v="79"/>
    <x v="2"/>
    <x v="590"/>
  </r>
  <r>
    <x v="700"/>
    <x v="89"/>
    <x v="307"/>
    <x v="1"/>
    <x v="591"/>
  </r>
  <r>
    <x v="701"/>
    <x v="95"/>
    <x v="20"/>
    <x v="1"/>
    <x v="592"/>
  </r>
  <r>
    <x v="702"/>
    <x v="156"/>
    <x v="241"/>
    <x v="3"/>
    <x v="406"/>
  </r>
  <r>
    <x v="703"/>
    <x v="41"/>
    <x v="95"/>
    <x v="3"/>
    <x v="593"/>
  </r>
  <r>
    <x v="704"/>
    <x v="204"/>
    <x v="308"/>
    <x v="0"/>
    <x v="348"/>
  </r>
  <r>
    <x v="705"/>
    <x v="138"/>
    <x v="153"/>
    <x v="5"/>
    <x v="163"/>
  </r>
  <r>
    <x v="706"/>
    <x v="204"/>
    <x v="164"/>
    <x v="0"/>
    <x v="594"/>
  </r>
  <r>
    <x v="707"/>
    <x v="106"/>
    <x v="202"/>
    <x v="4"/>
    <x v="595"/>
  </r>
  <r>
    <x v="708"/>
    <x v="75"/>
    <x v="54"/>
    <x v="1"/>
    <x v="596"/>
  </r>
  <r>
    <x v="709"/>
    <x v="188"/>
    <x v="25"/>
    <x v="2"/>
    <x v="166"/>
  </r>
  <r>
    <x v="710"/>
    <x v="153"/>
    <x v="309"/>
    <x v="1"/>
    <x v="597"/>
  </r>
  <r>
    <x v="711"/>
    <x v="100"/>
    <x v="207"/>
    <x v="1"/>
    <x v="598"/>
  </r>
  <r>
    <x v="712"/>
    <x v="268"/>
    <x v="310"/>
    <x v="0"/>
    <x v="471"/>
  </r>
  <r>
    <x v="713"/>
    <x v="73"/>
    <x v="301"/>
    <x v="2"/>
    <x v="599"/>
  </r>
  <r>
    <x v="714"/>
    <x v="269"/>
    <x v="264"/>
    <x v="2"/>
    <x v="600"/>
  </r>
  <r>
    <x v="715"/>
    <x v="162"/>
    <x v="300"/>
    <x v="2"/>
    <x v="562"/>
  </r>
  <r>
    <x v="716"/>
    <x v="214"/>
    <x v="135"/>
    <x v="0"/>
    <x v="601"/>
  </r>
  <r>
    <x v="717"/>
    <x v="42"/>
    <x v="47"/>
    <x v="1"/>
    <x v="602"/>
  </r>
  <r>
    <x v="718"/>
    <x v="270"/>
    <x v="311"/>
    <x v="0"/>
    <x v="603"/>
  </r>
  <r>
    <x v="719"/>
    <x v="157"/>
    <x v="196"/>
    <x v="3"/>
    <x v="70"/>
  </r>
  <r>
    <x v="720"/>
    <x v="122"/>
    <x v="109"/>
    <x v="3"/>
    <x v="604"/>
  </r>
  <r>
    <x v="721"/>
    <x v="116"/>
    <x v="312"/>
    <x v="0"/>
    <x v="605"/>
  </r>
  <r>
    <x v="722"/>
    <x v="236"/>
    <x v="91"/>
    <x v="2"/>
    <x v="606"/>
  </r>
  <r>
    <x v="723"/>
    <x v="169"/>
    <x v="83"/>
    <x v="1"/>
    <x v="607"/>
  </r>
  <r>
    <x v="724"/>
    <x v="135"/>
    <x v="291"/>
    <x v="0"/>
    <x v="608"/>
  </r>
  <r>
    <x v="725"/>
    <x v="102"/>
    <x v="155"/>
    <x v="0"/>
    <x v="609"/>
  </r>
  <r>
    <x v="726"/>
    <x v="75"/>
    <x v="248"/>
    <x v="0"/>
    <x v="610"/>
  </r>
  <r>
    <x v="727"/>
    <x v="21"/>
    <x v="279"/>
    <x v="4"/>
    <x v="611"/>
  </r>
  <r>
    <x v="728"/>
    <x v="261"/>
    <x v="174"/>
    <x v="3"/>
    <x v="612"/>
  </r>
  <r>
    <x v="729"/>
    <x v="271"/>
    <x v="260"/>
    <x v="2"/>
    <x v="90"/>
  </r>
  <r>
    <x v="730"/>
    <x v="30"/>
    <x v="313"/>
    <x v="5"/>
    <x v="613"/>
  </r>
  <r>
    <x v="731"/>
    <x v="67"/>
    <x v="88"/>
    <x v="2"/>
    <x v="614"/>
  </r>
  <r>
    <x v="732"/>
    <x v="264"/>
    <x v="78"/>
    <x v="5"/>
    <x v="615"/>
  </r>
  <r>
    <x v="733"/>
    <x v="88"/>
    <x v="216"/>
    <x v="4"/>
    <x v="616"/>
  </r>
  <r>
    <x v="734"/>
    <x v="178"/>
    <x v="148"/>
    <x v="0"/>
    <x v="617"/>
  </r>
  <r>
    <x v="735"/>
    <x v="272"/>
    <x v="112"/>
    <x v="4"/>
    <x v="618"/>
  </r>
  <r>
    <x v="736"/>
    <x v="163"/>
    <x v="279"/>
    <x v="4"/>
    <x v="619"/>
  </r>
  <r>
    <x v="737"/>
    <x v="112"/>
    <x v="163"/>
    <x v="1"/>
    <x v="580"/>
  </r>
  <r>
    <x v="738"/>
    <x v="263"/>
    <x v="276"/>
    <x v="3"/>
    <x v="620"/>
  </r>
  <r>
    <x v="739"/>
    <x v="114"/>
    <x v="103"/>
    <x v="5"/>
    <x v="621"/>
  </r>
  <r>
    <x v="740"/>
    <x v="145"/>
    <x v="239"/>
    <x v="0"/>
    <x v="622"/>
  </r>
  <r>
    <x v="741"/>
    <x v="234"/>
    <x v="203"/>
    <x v="5"/>
    <x v="293"/>
  </r>
  <r>
    <x v="742"/>
    <x v="197"/>
    <x v="310"/>
    <x v="2"/>
    <x v="623"/>
  </r>
  <r>
    <x v="743"/>
    <x v="103"/>
    <x v="69"/>
    <x v="5"/>
    <x v="372"/>
  </r>
  <r>
    <x v="744"/>
    <x v="68"/>
    <x v="288"/>
    <x v="2"/>
    <x v="624"/>
  </r>
  <r>
    <x v="745"/>
    <x v="273"/>
    <x v="304"/>
    <x v="3"/>
    <x v="625"/>
  </r>
  <r>
    <x v="746"/>
    <x v="230"/>
    <x v="142"/>
    <x v="2"/>
    <x v="626"/>
  </r>
  <r>
    <x v="747"/>
    <x v="39"/>
    <x v="262"/>
    <x v="5"/>
    <x v="539"/>
  </r>
  <r>
    <x v="748"/>
    <x v="75"/>
    <x v="50"/>
    <x v="5"/>
    <x v="613"/>
  </r>
  <r>
    <x v="749"/>
    <x v="238"/>
    <x v="146"/>
    <x v="2"/>
    <x v="627"/>
  </r>
  <r>
    <x v="750"/>
    <x v="175"/>
    <x v="67"/>
    <x v="4"/>
    <x v="628"/>
  </r>
  <r>
    <x v="751"/>
    <x v="44"/>
    <x v="314"/>
    <x v="3"/>
    <x v="629"/>
  </r>
  <r>
    <x v="752"/>
    <x v="186"/>
    <x v="241"/>
    <x v="1"/>
    <x v="339"/>
  </r>
  <r>
    <x v="753"/>
    <x v="135"/>
    <x v="315"/>
    <x v="0"/>
    <x v="630"/>
  </r>
  <r>
    <x v="754"/>
    <x v="37"/>
    <x v="316"/>
    <x v="5"/>
    <x v="631"/>
  </r>
  <r>
    <x v="755"/>
    <x v="127"/>
    <x v="247"/>
    <x v="0"/>
    <x v="632"/>
  </r>
  <r>
    <x v="756"/>
    <x v="172"/>
    <x v="34"/>
    <x v="1"/>
    <x v="633"/>
  </r>
  <r>
    <x v="757"/>
    <x v="259"/>
    <x v="226"/>
    <x v="0"/>
    <x v="634"/>
  </r>
  <r>
    <x v="758"/>
    <x v="50"/>
    <x v="317"/>
    <x v="1"/>
    <x v="635"/>
  </r>
  <r>
    <x v="759"/>
    <x v="77"/>
    <x v="61"/>
    <x v="2"/>
    <x v="636"/>
  </r>
  <r>
    <x v="760"/>
    <x v="139"/>
    <x v="215"/>
    <x v="4"/>
    <x v="637"/>
  </r>
  <r>
    <x v="761"/>
    <x v="274"/>
    <x v="318"/>
    <x v="5"/>
    <x v="372"/>
  </r>
  <r>
    <x v="762"/>
    <x v="275"/>
    <x v="137"/>
    <x v="1"/>
    <x v="638"/>
  </r>
  <r>
    <x v="763"/>
    <x v="138"/>
    <x v="206"/>
    <x v="0"/>
    <x v="639"/>
  </r>
  <r>
    <x v="764"/>
    <x v="276"/>
    <x v="4"/>
    <x v="5"/>
    <x v="640"/>
  </r>
  <r>
    <x v="765"/>
    <x v="41"/>
    <x v="173"/>
    <x v="4"/>
    <x v="641"/>
  </r>
  <r>
    <x v="766"/>
    <x v="158"/>
    <x v="255"/>
    <x v="2"/>
    <x v="642"/>
  </r>
  <r>
    <x v="767"/>
    <x v="88"/>
    <x v="263"/>
    <x v="5"/>
    <x v="643"/>
  </r>
  <r>
    <x v="768"/>
    <x v="182"/>
    <x v="66"/>
    <x v="1"/>
    <x v="455"/>
  </r>
  <r>
    <x v="769"/>
    <x v="56"/>
    <x v="250"/>
    <x v="4"/>
    <x v="644"/>
  </r>
  <r>
    <x v="770"/>
    <x v="41"/>
    <x v="142"/>
    <x v="0"/>
    <x v="645"/>
  </r>
  <r>
    <x v="771"/>
    <x v="59"/>
    <x v="224"/>
    <x v="4"/>
    <x v="646"/>
  </r>
  <r>
    <x v="772"/>
    <x v="10"/>
    <x v="97"/>
    <x v="4"/>
    <x v="647"/>
  </r>
  <r>
    <x v="773"/>
    <x v="9"/>
    <x v="59"/>
    <x v="3"/>
    <x v="648"/>
  </r>
  <r>
    <x v="774"/>
    <x v="59"/>
    <x v="26"/>
    <x v="4"/>
    <x v="649"/>
  </r>
  <r>
    <x v="775"/>
    <x v="49"/>
    <x v="120"/>
    <x v="4"/>
    <x v="650"/>
  </r>
  <r>
    <x v="776"/>
    <x v="277"/>
    <x v="311"/>
    <x v="5"/>
    <x v="539"/>
  </r>
  <r>
    <x v="777"/>
    <x v="273"/>
    <x v="225"/>
    <x v="0"/>
    <x v="651"/>
  </r>
  <r>
    <x v="778"/>
    <x v="249"/>
    <x v="178"/>
    <x v="5"/>
    <x v="43"/>
  </r>
  <r>
    <x v="779"/>
    <x v="26"/>
    <x v="110"/>
    <x v="5"/>
    <x v="652"/>
  </r>
  <r>
    <x v="780"/>
    <x v="4"/>
    <x v="301"/>
    <x v="1"/>
    <x v="653"/>
  </r>
  <r>
    <x v="781"/>
    <x v="193"/>
    <x v="113"/>
    <x v="5"/>
    <x v="654"/>
  </r>
  <r>
    <x v="782"/>
    <x v="92"/>
    <x v="244"/>
    <x v="3"/>
    <x v="265"/>
  </r>
  <r>
    <x v="783"/>
    <x v="3"/>
    <x v="260"/>
    <x v="3"/>
    <x v="29"/>
  </r>
  <r>
    <x v="784"/>
    <x v="161"/>
    <x v="131"/>
    <x v="1"/>
    <x v="638"/>
  </r>
  <r>
    <x v="785"/>
    <x v="65"/>
    <x v="184"/>
    <x v="2"/>
    <x v="655"/>
  </r>
  <r>
    <x v="786"/>
    <x v="27"/>
    <x v="0"/>
    <x v="0"/>
    <x v="656"/>
  </r>
  <r>
    <x v="787"/>
    <x v="208"/>
    <x v="20"/>
    <x v="0"/>
    <x v="657"/>
  </r>
  <r>
    <x v="788"/>
    <x v="261"/>
    <x v="71"/>
    <x v="5"/>
    <x v="658"/>
  </r>
  <r>
    <x v="789"/>
    <x v="136"/>
    <x v="198"/>
    <x v="5"/>
    <x v="659"/>
  </r>
  <r>
    <x v="790"/>
    <x v="97"/>
    <x v="19"/>
    <x v="2"/>
    <x v="660"/>
  </r>
  <r>
    <x v="791"/>
    <x v="87"/>
    <x v="224"/>
    <x v="5"/>
    <x v="400"/>
  </r>
  <r>
    <x v="792"/>
    <x v="278"/>
    <x v="163"/>
    <x v="0"/>
    <x v="661"/>
  </r>
  <r>
    <x v="793"/>
    <x v="134"/>
    <x v="76"/>
    <x v="4"/>
    <x v="662"/>
  </r>
  <r>
    <x v="794"/>
    <x v="86"/>
    <x v="135"/>
    <x v="3"/>
    <x v="237"/>
  </r>
  <r>
    <x v="795"/>
    <x v="22"/>
    <x v="319"/>
    <x v="4"/>
    <x v="663"/>
  </r>
  <r>
    <x v="796"/>
    <x v="190"/>
    <x v="320"/>
    <x v="4"/>
    <x v="664"/>
  </r>
  <r>
    <x v="797"/>
    <x v="237"/>
    <x v="172"/>
    <x v="0"/>
    <x v="665"/>
  </r>
  <r>
    <x v="798"/>
    <x v="279"/>
    <x v="277"/>
    <x v="4"/>
    <x v="666"/>
  </r>
  <r>
    <x v="799"/>
    <x v="228"/>
    <x v="321"/>
    <x v="2"/>
    <x v="667"/>
  </r>
  <r>
    <x v="800"/>
    <x v="128"/>
    <x v="319"/>
    <x v="1"/>
    <x v="668"/>
  </r>
  <r>
    <x v="801"/>
    <x v="254"/>
    <x v="322"/>
    <x v="5"/>
    <x v="669"/>
  </r>
  <r>
    <x v="802"/>
    <x v="31"/>
    <x v="157"/>
    <x v="1"/>
    <x v="311"/>
  </r>
  <r>
    <x v="803"/>
    <x v="147"/>
    <x v="60"/>
    <x v="3"/>
    <x v="614"/>
  </r>
  <r>
    <x v="804"/>
    <x v="206"/>
    <x v="34"/>
    <x v="5"/>
    <x v="670"/>
  </r>
  <r>
    <x v="805"/>
    <x v="117"/>
    <x v="56"/>
    <x v="4"/>
    <x v="671"/>
  </r>
  <r>
    <x v="806"/>
    <x v="271"/>
    <x v="288"/>
    <x v="3"/>
    <x v="185"/>
  </r>
  <r>
    <x v="807"/>
    <x v="202"/>
    <x v="257"/>
    <x v="5"/>
    <x v="672"/>
  </r>
  <r>
    <x v="808"/>
    <x v="111"/>
    <x v="323"/>
    <x v="2"/>
    <x v="488"/>
  </r>
  <r>
    <x v="809"/>
    <x v="9"/>
    <x v="160"/>
    <x v="2"/>
    <x v="673"/>
  </r>
  <r>
    <x v="810"/>
    <x v="88"/>
    <x v="269"/>
    <x v="2"/>
    <x v="433"/>
  </r>
  <r>
    <x v="811"/>
    <x v="163"/>
    <x v="219"/>
    <x v="2"/>
    <x v="674"/>
  </r>
  <r>
    <x v="812"/>
    <x v="77"/>
    <x v="51"/>
    <x v="4"/>
    <x v="675"/>
  </r>
  <r>
    <x v="813"/>
    <x v="115"/>
    <x v="252"/>
    <x v="1"/>
    <x v="676"/>
  </r>
  <r>
    <x v="814"/>
    <x v="22"/>
    <x v="318"/>
    <x v="5"/>
    <x v="225"/>
  </r>
  <r>
    <x v="815"/>
    <x v="162"/>
    <x v="236"/>
    <x v="4"/>
    <x v="677"/>
  </r>
  <r>
    <x v="816"/>
    <x v="21"/>
    <x v="50"/>
    <x v="2"/>
    <x v="678"/>
  </r>
  <r>
    <x v="817"/>
    <x v="52"/>
    <x v="317"/>
    <x v="1"/>
    <x v="679"/>
  </r>
  <r>
    <x v="818"/>
    <x v="218"/>
    <x v="156"/>
    <x v="3"/>
    <x v="112"/>
  </r>
  <r>
    <x v="819"/>
    <x v="169"/>
    <x v="290"/>
    <x v="3"/>
    <x v="59"/>
  </r>
  <r>
    <x v="820"/>
    <x v="1"/>
    <x v="270"/>
    <x v="3"/>
    <x v="680"/>
  </r>
  <r>
    <x v="821"/>
    <x v="43"/>
    <x v="164"/>
    <x v="2"/>
    <x v="327"/>
  </r>
  <r>
    <x v="822"/>
    <x v="246"/>
    <x v="324"/>
    <x v="3"/>
    <x v="681"/>
  </r>
  <r>
    <x v="823"/>
    <x v="204"/>
    <x v="277"/>
    <x v="0"/>
    <x v="682"/>
  </r>
  <r>
    <x v="824"/>
    <x v="278"/>
    <x v="175"/>
    <x v="5"/>
    <x v="183"/>
  </r>
  <r>
    <x v="825"/>
    <x v="192"/>
    <x v="280"/>
    <x v="5"/>
    <x v="670"/>
  </r>
  <r>
    <x v="826"/>
    <x v="251"/>
    <x v="266"/>
    <x v="2"/>
    <x v="427"/>
  </r>
  <r>
    <x v="827"/>
    <x v="69"/>
    <x v="206"/>
    <x v="0"/>
    <x v="683"/>
  </r>
  <r>
    <x v="828"/>
    <x v="111"/>
    <x v="306"/>
    <x v="4"/>
    <x v="684"/>
  </r>
  <r>
    <x v="829"/>
    <x v="78"/>
    <x v="12"/>
    <x v="4"/>
    <x v="685"/>
  </r>
  <r>
    <x v="830"/>
    <x v="280"/>
    <x v="160"/>
    <x v="3"/>
    <x v="47"/>
  </r>
  <r>
    <x v="831"/>
    <x v="200"/>
    <x v="210"/>
    <x v="1"/>
    <x v="686"/>
  </r>
  <r>
    <x v="832"/>
    <x v="115"/>
    <x v="190"/>
    <x v="4"/>
    <x v="687"/>
  </r>
  <r>
    <x v="833"/>
    <x v="219"/>
    <x v="116"/>
    <x v="1"/>
    <x v="688"/>
  </r>
  <r>
    <x v="834"/>
    <x v="51"/>
    <x v="190"/>
    <x v="5"/>
    <x v="689"/>
  </r>
  <r>
    <x v="835"/>
    <x v="148"/>
    <x v="218"/>
    <x v="1"/>
    <x v="690"/>
  </r>
  <r>
    <x v="836"/>
    <x v="70"/>
    <x v="274"/>
    <x v="5"/>
    <x v="691"/>
  </r>
  <r>
    <x v="837"/>
    <x v="2"/>
    <x v="126"/>
    <x v="0"/>
    <x v="692"/>
  </r>
  <r>
    <x v="838"/>
    <x v="66"/>
    <x v="325"/>
    <x v="0"/>
    <x v="693"/>
  </r>
  <r>
    <x v="839"/>
    <x v="151"/>
    <x v="7"/>
    <x v="2"/>
    <x v="694"/>
  </r>
  <r>
    <x v="840"/>
    <x v="280"/>
    <x v="34"/>
    <x v="2"/>
    <x v="606"/>
  </r>
  <r>
    <x v="841"/>
    <x v="160"/>
    <x v="21"/>
    <x v="3"/>
    <x v="667"/>
  </r>
  <r>
    <x v="842"/>
    <x v="139"/>
    <x v="109"/>
    <x v="4"/>
    <x v="695"/>
  </r>
  <r>
    <x v="843"/>
    <x v="199"/>
    <x v="52"/>
    <x v="3"/>
    <x v="188"/>
  </r>
  <r>
    <x v="844"/>
    <x v="134"/>
    <x v="30"/>
    <x v="5"/>
    <x v="696"/>
  </r>
  <r>
    <x v="845"/>
    <x v="57"/>
    <x v="199"/>
    <x v="3"/>
    <x v="697"/>
  </r>
  <r>
    <x v="846"/>
    <x v="32"/>
    <x v="24"/>
    <x v="1"/>
    <x v="698"/>
  </r>
  <r>
    <x v="847"/>
    <x v="63"/>
    <x v="168"/>
    <x v="5"/>
    <x v="696"/>
  </r>
  <r>
    <x v="848"/>
    <x v="128"/>
    <x v="247"/>
    <x v="2"/>
    <x v="699"/>
  </r>
  <r>
    <x v="849"/>
    <x v="281"/>
    <x v="288"/>
    <x v="0"/>
    <x v="700"/>
  </r>
  <r>
    <x v="850"/>
    <x v="191"/>
    <x v="141"/>
    <x v="2"/>
    <x v="626"/>
  </r>
  <r>
    <x v="851"/>
    <x v="162"/>
    <x v="271"/>
    <x v="4"/>
    <x v="701"/>
  </r>
  <r>
    <x v="852"/>
    <x v="83"/>
    <x v="49"/>
    <x v="5"/>
    <x v="484"/>
  </r>
  <r>
    <x v="853"/>
    <x v="131"/>
    <x v="202"/>
    <x v="5"/>
    <x v="448"/>
  </r>
  <r>
    <x v="854"/>
    <x v="49"/>
    <x v="318"/>
    <x v="1"/>
    <x v="702"/>
  </r>
  <r>
    <x v="855"/>
    <x v="209"/>
    <x v="316"/>
    <x v="4"/>
    <x v="703"/>
  </r>
  <r>
    <x v="856"/>
    <x v="71"/>
    <x v="64"/>
    <x v="0"/>
    <x v="704"/>
  </r>
  <r>
    <x v="857"/>
    <x v="195"/>
    <x v="82"/>
    <x v="5"/>
    <x v="301"/>
  </r>
  <r>
    <x v="858"/>
    <x v="20"/>
    <x v="326"/>
    <x v="5"/>
    <x v="372"/>
  </r>
  <r>
    <x v="859"/>
    <x v="58"/>
    <x v="313"/>
    <x v="1"/>
    <x v="705"/>
  </r>
  <r>
    <x v="860"/>
    <x v="22"/>
    <x v="277"/>
    <x v="3"/>
    <x v="706"/>
  </r>
  <r>
    <x v="861"/>
    <x v="153"/>
    <x v="238"/>
    <x v="0"/>
    <x v="707"/>
  </r>
  <r>
    <x v="862"/>
    <x v="92"/>
    <x v="139"/>
    <x v="2"/>
    <x v="708"/>
  </r>
  <r>
    <x v="863"/>
    <x v="223"/>
    <x v="105"/>
    <x v="4"/>
    <x v="709"/>
  </r>
  <r>
    <x v="864"/>
    <x v="166"/>
    <x v="248"/>
    <x v="5"/>
    <x v="710"/>
  </r>
  <r>
    <x v="865"/>
    <x v="17"/>
    <x v="327"/>
    <x v="5"/>
    <x v="64"/>
  </r>
  <r>
    <x v="866"/>
    <x v="107"/>
    <x v="237"/>
    <x v="2"/>
    <x v="711"/>
  </r>
  <r>
    <x v="867"/>
    <x v="272"/>
    <x v="3"/>
    <x v="0"/>
    <x v="712"/>
  </r>
  <r>
    <x v="868"/>
    <x v="252"/>
    <x v="242"/>
    <x v="3"/>
    <x v="713"/>
  </r>
  <r>
    <x v="869"/>
    <x v="46"/>
    <x v="99"/>
    <x v="5"/>
    <x v="496"/>
  </r>
  <r>
    <x v="870"/>
    <x v="198"/>
    <x v="325"/>
    <x v="0"/>
    <x v="714"/>
  </r>
  <r>
    <x v="871"/>
    <x v="1"/>
    <x v="272"/>
    <x v="2"/>
    <x v="715"/>
  </r>
  <r>
    <x v="872"/>
    <x v="240"/>
    <x v="222"/>
    <x v="1"/>
    <x v="716"/>
  </r>
  <r>
    <x v="873"/>
    <x v="36"/>
    <x v="296"/>
    <x v="3"/>
    <x v="717"/>
  </r>
  <r>
    <x v="874"/>
    <x v="212"/>
    <x v="108"/>
    <x v="4"/>
    <x v="718"/>
  </r>
  <r>
    <x v="875"/>
    <x v="216"/>
    <x v="306"/>
    <x v="5"/>
    <x v="66"/>
  </r>
  <r>
    <x v="876"/>
    <x v="198"/>
    <x v="150"/>
    <x v="0"/>
    <x v="719"/>
  </r>
  <r>
    <x v="877"/>
    <x v="218"/>
    <x v="223"/>
    <x v="1"/>
    <x v="720"/>
  </r>
  <r>
    <x v="878"/>
    <x v="247"/>
    <x v="25"/>
    <x v="4"/>
    <x v="721"/>
  </r>
  <r>
    <x v="879"/>
    <x v="67"/>
    <x v="149"/>
    <x v="0"/>
    <x v="722"/>
  </r>
  <r>
    <x v="880"/>
    <x v="180"/>
    <x v="113"/>
    <x v="0"/>
    <x v="723"/>
  </r>
  <r>
    <x v="881"/>
    <x v="203"/>
    <x v="301"/>
    <x v="4"/>
    <x v="724"/>
  </r>
  <r>
    <x v="882"/>
    <x v="35"/>
    <x v="217"/>
    <x v="1"/>
    <x v="720"/>
  </r>
  <r>
    <x v="883"/>
    <x v="203"/>
    <x v="327"/>
    <x v="2"/>
    <x v="725"/>
  </r>
  <r>
    <x v="884"/>
    <x v="126"/>
    <x v="105"/>
    <x v="1"/>
    <x v="726"/>
  </r>
  <r>
    <x v="885"/>
    <x v="157"/>
    <x v="46"/>
    <x v="3"/>
    <x v="727"/>
  </r>
  <r>
    <x v="886"/>
    <x v="282"/>
    <x v="94"/>
    <x v="5"/>
    <x v="340"/>
  </r>
  <r>
    <x v="887"/>
    <x v="199"/>
    <x v="316"/>
    <x v="4"/>
    <x v="728"/>
  </r>
  <r>
    <x v="888"/>
    <x v="36"/>
    <x v="101"/>
    <x v="2"/>
    <x v="530"/>
  </r>
  <r>
    <x v="889"/>
    <x v="30"/>
    <x v="196"/>
    <x v="4"/>
    <x v="729"/>
  </r>
  <r>
    <x v="890"/>
    <x v="47"/>
    <x v="255"/>
    <x v="4"/>
    <x v="730"/>
  </r>
  <r>
    <x v="891"/>
    <x v="221"/>
    <x v="46"/>
    <x v="1"/>
    <x v="731"/>
  </r>
  <r>
    <x v="892"/>
    <x v="20"/>
    <x v="127"/>
    <x v="5"/>
    <x v="461"/>
  </r>
  <r>
    <x v="893"/>
    <x v="211"/>
    <x v="300"/>
    <x v="3"/>
    <x v="732"/>
  </r>
  <r>
    <x v="894"/>
    <x v="47"/>
    <x v="293"/>
    <x v="0"/>
    <x v="733"/>
  </r>
  <r>
    <x v="895"/>
    <x v="261"/>
    <x v="328"/>
    <x v="0"/>
    <x v="734"/>
  </r>
  <r>
    <x v="896"/>
    <x v="120"/>
    <x v="324"/>
    <x v="4"/>
    <x v="735"/>
  </r>
  <r>
    <x v="897"/>
    <x v="29"/>
    <x v="192"/>
    <x v="5"/>
    <x v="736"/>
  </r>
  <r>
    <x v="898"/>
    <x v="203"/>
    <x v="329"/>
    <x v="2"/>
    <x v="76"/>
  </r>
  <r>
    <x v="899"/>
    <x v="25"/>
    <x v="248"/>
    <x v="1"/>
    <x v="737"/>
  </r>
  <r>
    <x v="900"/>
    <x v="98"/>
    <x v="43"/>
    <x v="5"/>
    <x v="738"/>
  </r>
  <r>
    <x v="901"/>
    <x v="13"/>
    <x v="19"/>
    <x v="5"/>
    <x v="739"/>
  </r>
  <r>
    <x v="902"/>
    <x v="222"/>
    <x v="106"/>
    <x v="1"/>
    <x v="138"/>
  </r>
  <r>
    <x v="903"/>
    <x v="152"/>
    <x v="81"/>
    <x v="4"/>
    <x v="740"/>
  </r>
  <r>
    <x v="904"/>
    <x v="77"/>
    <x v="20"/>
    <x v="5"/>
    <x v="741"/>
  </r>
  <r>
    <x v="905"/>
    <x v="103"/>
    <x v="312"/>
    <x v="0"/>
    <x v="742"/>
  </r>
  <r>
    <x v="906"/>
    <x v="269"/>
    <x v="94"/>
    <x v="1"/>
    <x v="743"/>
  </r>
  <r>
    <x v="907"/>
    <x v="104"/>
    <x v="67"/>
    <x v="2"/>
    <x v="744"/>
  </r>
  <r>
    <x v="908"/>
    <x v="48"/>
    <x v="173"/>
    <x v="3"/>
    <x v="229"/>
  </r>
  <r>
    <x v="909"/>
    <x v="204"/>
    <x v="219"/>
    <x v="4"/>
    <x v="32"/>
  </r>
  <r>
    <x v="910"/>
    <x v="87"/>
    <x v="93"/>
    <x v="1"/>
    <x v="745"/>
  </r>
  <r>
    <x v="911"/>
    <x v="88"/>
    <x v="129"/>
    <x v="3"/>
    <x v="746"/>
  </r>
  <r>
    <x v="912"/>
    <x v="270"/>
    <x v="156"/>
    <x v="3"/>
    <x v="747"/>
  </r>
  <r>
    <x v="913"/>
    <x v="68"/>
    <x v="330"/>
    <x v="2"/>
    <x v="55"/>
  </r>
  <r>
    <x v="914"/>
    <x v="258"/>
    <x v="285"/>
    <x v="5"/>
    <x v="372"/>
  </r>
  <r>
    <x v="915"/>
    <x v="283"/>
    <x v="241"/>
    <x v="2"/>
    <x v="748"/>
  </r>
  <r>
    <x v="916"/>
    <x v="259"/>
    <x v="125"/>
    <x v="5"/>
    <x v="545"/>
  </r>
  <r>
    <x v="917"/>
    <x v="228"/>
    <x v="308"/>
    <x v="5"/>
    <x v="658"/>
  </r>
  <r>
    <x v="918"/>
    <x v="103"/>
    <x v="285"/>
    <x v="1"/>
    <x v="749"/>
  </r>
  <r>
    <x v="919"/>
    <x v="235"/>
    <x v="189"/>
    <x v="1"/>
    <x v="750"/>
  </r>
  <r>
    <x v="920"/>
    <x v="173"/>
    <x v="331"/>
    <x v="4"/>
    <x v="751"/>
  </r>
  <r>
    <x v="921"/>
    <x v="76"/>
    <x v="141"/>
    <x v="5"/>
    <x v="752"/>
  </r>
  <r>
    <x v="922"/>
    <x v="284"/>
    <x v="287"/>
    <x v="3"/>
    <x v="753"/>
  </r>
  <r>
    <x v="923"/>
    <x v="93"/>
    <x v="291"/>
    <x v="0"/>
    <x v="134"/>
  </r>
  <r>
    <x v="924"/>
    <x v="258"/>
    <x v="324"/>
    <x v="4"/>
    <x v="754"/>
  </r>
  <r>
    <x v="925"/>
    <x v="266"/>
    <x v="307"/>
    <x v="1"/>
    <x v="755"/>
  </r>
  <r>
    <x v="926"/>
    <x v="84"/>
    <x v="324"/>
    <x v="2"/>
    <x v="612"/>
  </r>
  <r>
    <x v="927"/>
    <x v="205"/>
    <x v="318"/>
    <x v="4"/>
    <x v="756"/>
  </r>
  <r>
    <x v="928"/>
    <x v="281"/>
    <x v="324"/>
    <x v="4"/>
    <x v="757"/>
  </r>
  <r>
    <x v="929"/>
    <x v="225"/>
    <x v="53"/>
    <x v="4"/>
    <x v="758"/>
  </r>
  <r>
    <x v="930"/>
    <x v="184"/>
    <x v="26"/>
    <x v="4"/>
    <x v="666"/>
  </r>
  <r>
    <x v="931"/>
    <x v="57"/>
    <x v="314"/>
    <x v="0"/>
    <x v="759"/>
  </r>
  <r>
    <x v="932"/>
    <x v="144"/>
    <x v="114"/>
    <x v="2"/>
    <x v="343"/>
  </r>
  <r>
    <x v="933"/>
    <x v="117"/>
    <x v="107"/>
    <x v="2"/>
    <x v="625"/>
  </r>
  <r>
    <x v="934"/>
    <x v="29"/>
    <x v="203"/>
    <x v="2"/>
    <x v="674"/>
  </r>
  <r>
    <x v="935"/>
    <x v="71"/>
    <x v="149"/>
    <x v="5"/>
    <x v="658"/>
  </r>
  <r>
    <x v="936"/>
    <x v="125"/>
    <x v="313"/>
    <x v="3"/>
    <x v="760"/>
  </r>
  <r>
    <x v="937"/>
    <x v="90"/>
    <x v="38"/>
    <x v="2"/>
    <x v="761"/>
  </r>
  <r>
    <x v="938"/>
    <x v="124"/>
    <x v="198"/>
    <x v="4"/>
    <x v="85"/>
  </r>
  <r>
    <x v="939"/>
    <x v="181"/>
    <x v="148"/>
    <x v="4"/>
    <x v="762"/>
  </r>
  <r>
    <x v="940"/>
    <x v="158"/>
    <x v="196"/>
    <x v="2"/>
    <x v="763"/>
  </r>
  <r>
    <x v="941"/>
    <x v="247"/>
    <x v="244"/>
    <x v="2"/>
    <x v="511"/>
  </r>
  <r>
    <x v="942"/>
    <x v="35"/>
    <x v="91"/>
    <x v="4"/>
    <x v="764"/>
  </r>
  <r>
    <x v="943"/>
    <x v="107"/>
    <x v="15"/>
    <x v="5"/>
    <x v="765"/>
  </r>
  <r>
    <x v="944"/>
    <x v="150"/>
    <x v="21"/>
    <x v="1"/>
    <x v="766"/>
  </r>
  <r>
    <x v="945"/>
    <x v="202"/>
    <x v="143"/>
    <x v="1"/>
    <x v="767"/>
  </r>
  <r>
    <x v="946"/>
    <x v="250"/>
    <x v="297"/>
    <x v="2"/>
    <x v="768"/>
  </r>
  <r>
    <x v="947"/>
    <x v="51"/>
    <x v="178"/>
    <x v="0"/>
    <x v="769"/>
  </r>
  <r>
    <x v="948"/>
    <x v="67"/>
    <x v="200"/>
    <x v="2"/>
    <x v="770"/>
  </r>
  <r>
    <x v="949"/>
    <x v="285"/>
    <x v="237"/>
    <x v="2"/>
    <x v="771"/>
  </r>
  <r>
    <x v="950"/>
    <x v="229"/>
    <x v="9"/>
    <x v="1"/>
    <x v="116"/>
  </r>
  <r>
    <x v="951"/>
    <x v="276"/>
    <x v="145"/>
    <x v="4"/>
    <x v="125"/>
  </r>
  <r>
    <x v="952"/>
    <x v="155"/>
    <x v="237"/>
    <x v="2"/>
    <x v="124"/>
  </r>
  <r>
    <x v="953"/>
    <x v="10"/>
    <x v="206"/>
    <x v="4"/>
    <x v="772"/>
  </r>
  <r>
    <x v="954"/>
    <x v="150"/>
    <x v="13"/>
    <x v="4"/>
    <x v="773"/>
  </r>
  <r>
    <x v="955"/>
    <x v="6"/>
    <x v="239"/>
    <x v="0"/>
    <x v="774"/>
  </r>
  <r>
    <x v="956"/>
    <x v="73"/>
    <x v="144"/>
    <x v="4"/>
    <x v="775"/>
  </r>
  <r>
    <x v="957"/>
    <x v="72"/>
    <x v="157"/>
    <x v="1"/>
    <x v="27"/>
  </r>
  <r>
    <x v="958"/>
    <x v="84"/>
    <x v="128"/>
    <x v="5"/>
    <x v="776"/>
  </r>
  <r>
    <x v="959"/>
    <x v="65"/>
    <x v="332"/>
    <x v="5"/>
    <x v="218"/>
  </r>
  <r>
    <x v="960"/>
    <x v="266"/>
    <x v="333"/>
    <x v="3"/>
    <x v="777"/>
  </r>
  <r>
    <x v="961"/>
    <x v="96"/>
    <x v="244"/>
    <x v="2"/>
    <x v="34"/>
  </r>
  <r>
    <x v="962"/>
    <x v="272"/>
    <x v="124"/>
    <x v="1"/>
    <x v="778"/>
  </r>
  <r>
    <x v="963"/>
    <x v="209"/>
    <x v="211"/>
    <x v="4"/>
    <x v="779"/>
  </r>
  <r>
    <x v="964"/>
    <x v="171"/>
    <x v="203"/>
    <x v="5"/>
    <x v="212"/>
  </r>
  <r>
    <x v="965"/>
    <x v="258"/>
    <x v="231"/>
    <x v="1"/>
    <x v="780"/>
  </r>
  <r>
    <x v="966"/>
    <x v="3"/>
    <x v="153"/>
    <x v="5"/>
    <x v="781"/>
  </r>
  <r>
    <x v="967"/>
    <x v="279"/>
    <x v="184"/>
    <x v="4"/>
    <x v="782"/>
  </r>
  <r>
    <x v="968"/>
    <x v="44"/>
    <x v="200"/>
    <x v="5"/>
    <x v="783"/>
  </r>
  <r>
    <x v="969"/>
    <x v="215"/>
    <x v="319"/>
    <x v="2"/>
    <x v="141"/>
  </r>
  <r>
    <x v="970"/>
    <x v="227"/>
    <x v="133"/>
    <x v="2"/>
    <x v="82"/>
  </r>
  <r>
    <x v="971"/>
    <x v="112"/>
    <x v="250"/>
    <x v="3"/>
    <x v="54"/>
  </r>
  <r>
    <x v="972"/>
    <x v="260"/>
    <x v="258"/>
    <x v="3"/>
    <x v="784"/>
  </r>
  <r>
    <x v="973"/>
    <x v="118"/>
    <x v="100"/>
    <x v="5"/>
    <x v="88"/>
  </r>
  <r>
    <x v="974"/>
    <x v="104"/>
    <x v="187"/>
    <x v="1"/>
    <x v="642"/>
  </r>
  <r>
    <x v="975"/>
    <x v="88"/>
    <x v="319"/>
    <x v="2"/>
    <x v="785"/>
  </r>
  <r>
    <x v="976"/>
    <x v="233"/>
    <x v="159"/>
    <x v="1"/>
    <x v="786"/>
  </r>
  <r>
    <x v="977"/>
    <x v="263"/>
    <x v="222"/>
    <x v="1"/>
    <x v="787"/>
  </r>
  <r>
    <x v="978"/>
    <x v="112"/>
    <x v="226"/>
    <x v="5"/>
    <x v="473"/>
  </r>
  <r>
    <x v="979"/>
    <x v="126"/>
    <x v="330"/>
    <x v="1"/>
    <x v="788"/>
  </r>
  <r>
    <x v="980"/>
    <x v="274"/>
    <x v="288"/>
    <x v="2"/>
    <x v="27"/>
  </r>
  <r>
    <x v="981"/>
    <x v="24"/>
    <x v="168"/>
    <x v="4"/>
    <x v="789"/>
  </r>
  <r>
    <x v="982"/>
    <x v="286"/>
    <x v="250"/>
    <x v="3"/>
    <x v="790"/>
  </r>
  <r>
    <x v="983"/>
    <x v="102"/>
    <x v="158"/>
    <x v="4"/>
    <x v="791"/>
  </r>
  <r>
    <x v="984"/>
    <x v="181"/>
    <x v="243"/>
    <x v="1"/>
    <x v="529"/>
  </r>
  <r>
    <x v="985"/>
    <x v="193"/>
    <x v="308"/>
    <x v="4"/>
    <x v="792"/>
  </r>
  <r>
    <x v="986"/>
    <x v="251"/>
    <x v="138"/>
    <x v="2"/>
    <x v="331"/>
  </r>
  <r>
    <x v="987"/>
    <x v="17"/>
    <x v="227"/>
    <x v="2"/>
    <x v="793"/>
  </r>
  <r>
    <x v="988"/>
    <x v="128"/>
    <x v="150"/>
    <x v="1"/>
    <x v="794"/>
  </r>
  <r>
    <x v="989"/>
    <x v="118"/>
    <x v="181"/>
    <x v="5"/>
    <x v="795"/>
  </r>
  <r>
    <x v="990"/>
    <x v="202"/>
    <x v="238"/>
    <x v="4"/>
    <x v="628"/>
  </r>
  <r>
    <x v="991"/>
    <x v="165"/>
    <x v="247"/>
    <x v="5"/>
    <x v="796"/>
  </r>
  <r>
    <x v="992"/>
    <x v="1"/>
    <x v="273"/>
    <x v="5"/>
    <x v="613"/>
  </r>
  <r>
    <x v="993"/>
    <x v="162"/>
    <x v="229"/>
    <x v="0"/>
    <x v="797"/>
  </r>
  <r>
    <x v="994"/>
    <x v="101"/>
    <x v="38"/>
    <x v="1"/>
    <x v="600"/>
  </r>
  <r>
    <x v="995"/>
    <x v="116"/>
    <x v="194"/>
    <x v="3"/>
    <x v="3"/>
  </r>
  <r>
    <x v="996"/>
    <x v="88"/>
    <x v="102"/>
    <x v="2"/>
    <x v="798"/>
  </r>
  <r>
    <x v="997"/>
    <x v="47"/>
    <x v="89"/>
    <x v="2"/>
    <x v="799"/>
  </r>
  <r>
    <x v="998"/>
    <x v="232"/>
    <x v="334"/>
    <x v="1"/>
    <x v="800"/>
  </r>
  <r>
    <x v="999"/>
    <x v="81"/>
    <x v="335"/>
    <x v="3"/>
    <x v="8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7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1"/>
    <x v="2"/>
    <x v="2"/>
    <x v="1"/>
    <x v="0"/>
    <x v="2"/>
    <x v="1"/>
  </r>
  <r>
    <x v="3"/>
    <x v="3"/>
    <x v="1"/>
    <x v="3"/>
    <x v="0"/>
    <x v="1"/>
    <x v="2"/>
    <x v="0"/>
    <x v="0"/>
  </r>
  <r>
    <x v="4"/>
    <x v="4"/>
    <x v="1"/>
    <x v="4"/>
    <x v="1"/>
    <x v="1"/>
    <x v="0"/>
    <x v="0"/>
    <x v="0"/>
  </r>
  <r>
    <x v="5"/>
    <x v="5"/>
    <x v="0"/>
    <x v="5"/>
    <x v="2"/>
    <x v="0"/>
    <x v="2"/>
    <x v="1"/>
    <x v="1"/>
  </r>
  <r>
    <x v="6"/>
    <x v="6"/>
    <x v="1"/>
    <x v="6"/>
    <x v="0"/>
    <x v="1"/>
    <x v="2"/>
    <x v="0"/>
    <x v="0"/>
  </r>
  <r>
    <x v="7"/>
    <x v="7"/>
    <x v="2"/>
    <x v="7"/>
    <x v="1"/>
    <x v="0"/>
    <x v="2"/>
    <x v="3"/>
    <x v="0"/>
  </r>
  <r>
    <x v="8"/>
    <x v="8"/>
    <x v="1"/>
    <x v="8"/>
    <x v="0"/>
    <x v="1"/>
    <x v="3"/>
    <x v="2"/>
    <x v="1"/>
  </r>
  <r>
    <x v="9"/>
    <x v="9"/>
    <x v="2"/>
    <x v="9"/>
    <x v="1"/>
    <x v="0"/>
    <x v="2"/>
    <x v="3"/>
    <x v="0"/>
  </r>
  <r>
    <x v="10"/>
    <x v="10"/>
    <x v="3"/>
    <x v="10"/>
    <x v="0"/>
    <x v="0"/>
    <x v="2"/>
    <x v="4"/>
    <x v="0"/>
  </r>
  <r>
    <x v="11"/>
    <x v="11"/>
    <x v="4"/>
    <x v="11"/>
    <x v="1"/>
    <x v="2"/>
    <x v="3"/>
    <x v="5"/>
    <x v="2"/>
  </r>
  <r>
    <x v="12"/>
    <x v="12"/>
    <x v="2"/>
    <x v="12"/>
    <x v="3"/>
    <x v="0"/>
    <x v="2"/>
    <x v="0"/>
    <x v="0"/>
  </r>
  <r>
    <x v="13"/>
    <x v="13"/>
    <x v="0"/>
    <x v="13"/>
    <x v="2"/>
    <x v="0"/>
    <x v="1"/>
    <x v="2"/>
    <x v="1"/>
  </r>
  <r>
    <x v="14"/>
    <x v="14"/>
    <x v="4"/>
    <x v="14"/>
    <x v="4"/>
    <x v="2"/>
    <x v="3"/>
    <x v="6"/>
    <x v="3"/>
  </r>
  <r>
    <x v="15"/>
    <x v="15"/>
    <x v="2"/>
    <x v="15"/>
    <x v="3"/>
    <x v="0"/>
    <x v="0"/>
    <x v="1"/>
    <x v="1"/>
  </r>
  <r>
    <x v="16"/>
    <x v="16"/>
    <x v="4"/>
    <x v="16"/>
    <x v="2"/>
    <x v="2"/>
    <x v="0"/>
    <x v="7"/>
    <x v="2"/>
  </r>
  <r>
    <x v="17"/>
    <x v="17"/>
    <x v="5"/>
    <x v="17"/>
    <x v="3"/>
    <x v="3"/>
    <x v="1"/>
    <x v="5"/>
    <x v="2"/>
  </r>
  <r>
    <x v="18"/>
    <x v="15"/>
    <x v="1"/>
    <x v="18"/>
    <x v="3"/>
    <x v="1"/>
    <x v="1"/>
    <x v="2"/>
    <x v="1"/>
  </r>
  <r>
    <x v="19"/>
    <x v="18"/>
    <x v="5"/>
    <x v="19"/>
    <x v="2"/>
    <x v="3"/>
    <x v="1"/>
    <x v="7"/>
    <x v="2"/>
  </r>
  <r>
    <x v="20"/>
    <x v="11"/>
    <x v="5"/>
    <x v="20"/>
    <x v="1"/>
    <x v="3"/>
    <x v="1"/>
    <x v="8"/>
    <x v="1"/>
  </r>
  <r>
    <x v="21"/>
    <x v="19"/>
    <x v="5"/>
    <x v="21"/>
    <x v="3"/>
    <x v="3"/>
    <x v="0"/>
    <x v="2"/>
    <x v="1"/>
  </r>
  <r>
    <x v="22"/>
    <x v="20"/>
    <x v="4"/>
    <x v="22"/>
    <x v="3"/>
    <x v="2"/>
    <x v="4"/>
    <x v="9"/>
    <x v="3"/>
  </r>
  <r>
    <x v="23"/>
    <x v="21"/>
    <x v="2"/>
    <x v="23"/>
    <x v="0"/>
    <x v="0"/>
    <x v="2"/>
    <x v="4"/>
    <x v="0"/>
  </r>
  <r>
    <x v="24"/>
    <x v="5"/>
    <x v="1"/>
    <x v="24"/>
    <x v="2"/>
    <x v="1"/>
    <x v="2"/>
    <x v="8"/>
    <x v="1"/>
  </r>
  <r>
    <x v="25"/>
    <x v="22"/>
    <x v="0"/>
    <x v="25"/>
    <x v="2"/>
    <x v="0"/>
    <x v="0"/>
    <x v="8"/>
    <x v="1"/>
  </r>
  <r>
    <x v="26"/>
    <x v="23"/>
    <x v="6"/>
    <x v="26"/>
    <x v="2"/>
    <x v="4"/>
    <x v="4"/>
    <x v="10"/>
    <x v="3"/>
  </r>
  <r>
    <x v="27"/>
    <x v="24"/>
    <x v="2"/>
    <x v="27"/>
    <x v="3"/>
    <x v="0"/>
    <x v="2"/>
    <x v="0"/>
    <x v="0"/>
  </r>
  <r>
    <x v="28"/>
    <x v="25"/>
    <x v="6"/>
    <x v="28"/>
    <x v="4"/>
    <x v="4"/>
    <x v="4"/>
    <x v="11"/>
    <x v="4"/>
  </r>
  <r>
    <x v="29"/>
    <x v="26"/>
    <x v="4"/>
    <x v="29"/>
    <x v="2"/>
    <x v="2"/>
    <x v="3"/>
    <x v="9"/>
    <x v="3"/>
  </r>
  <r>
    <x v="30"/>
    <x v="27"/>
    <x v="6"/>
    <x v="30"/>
    <x v="0"/>
    <x v="4"/>
    <x v="4"/>
    <x v="9"/>
    <x v="3"/>
  </r>
  <r>
    <x v="31"/>
    <x v="28"/>
    <x v="4"/>
    <x v="31"/>
    <x v="4"/>
    <x v="2"/>
    <x v="4"/>
    <x v="10"/>
    <x v="3"/>
  </r>
  <r>
    <x v="32"/>
    <x v="29"/>
    <x v="5"/>
    <x v="32"/>
    <x v="4"/>
    <x v="3"/>
    <x v="1"/>
    <x v="12"/>
    <x v="2"/>
  </r>
  <r>
    <x v="33"/>
    <x v="30"/>
    <x v="5"/>
    <x v="33"/>
    <x v="1"/>
    <x v="3"/>
    <x v="0"/>
    <x v="1"/>
    <x v="1"/>
  </r>
  <r>
    <x v="34"/>
    <x v="31"/>
    <x v="5"/>
    <x v="34"/>
    <x v="3"/>
    <x v="3"/>
    <x v="3"/>
    <x v="7"/>
    <x v="2"/>
  </r>
  <r>
    <x v="35"/>
    <x v="32"/>
    <x v="1"/>
    <x v="35"/>
    <x v="3"/>
    <x v="1"/>
    <x v="3"/>
    <x v="5"/>
    <x v="2"/>
  </r>
  <r>
    <x v="36"/>
    <x v="33"/>
    <x v="7"/>
    <x v="36"/>
    <x v="1"/>
    <x v="0"/>
    <x v="2"/>
    <x v="3"/>
    <x v="0"/>
  </r>
  <r>
    <x v="37"/>
    <x v="34"/>
    <x v="2"/>
    <x v="37"/>
    <x v="0"/>
    <x v="0"/>
    <x v="2"/>
    <x v="4"/>
    <x v="0"/>
  </r>
  <r>
    <x v="38"/>
    <x v="35"/>
    <x v="1"/>
    <x v="38"/>
    <x v="4"/>
    <x v="1"/>
    <x v="0"/>
    <x v="5"/>
    <x v="2"/>
  </r>
  <r>
    <x v="39"/>
    <x v="36"/>
    <x v="1"/>
    <x v="39"/>
    <x v="2"/>
    <x v="1"/>
    <x v="2"/>
    <x v="8"/>
    <x v="1"/>
  </r>
  <r>
    <x v="40"/>
    <x v="37"/>
    <x v="6"/>
    <x v="40"/>
    <x v="4"/>
    <x v="4"/>
    <x v="4"/>
    <x v="11"/>
    <x v="4"/>
  </r>
  <r>
    <x v="41"/>
    <x v="38"/>
    <x v="4"/>
    <x v="41"/>
    <x v="2"/>
    <x v="2"/>
    <x v="4"/>
    <x v="6"/>
    <x v="3"/>
  </r>
  <r>
    <x v="42"/>
    <x v="39"/>
    <x v="4"/>
    <x v="42"/>
    <x v="3"/>
    <x v="2"/>
    <x v="4"/>
    <x v="9"/>
    <x v="3"/>
  </r>
  <r>
    <x v="43"/>
    <x v="29"/>
    <x v="1"/>
    <x v="43"/>
    <x v="4"/>
    <x v="1"/>
    <x v="0"/>
    <x v="5"/>
    <x v="2"/>
  </r>
  <r>
    <x v="44"/>
    <x v="40"/>
    <x v="1"/>
    <x v="15"/>
    <x v="2"/>
    <x v="1"/>
    <x v="0"/>
    <x v="2"/>
    <x v="1"/>
  </r>
  <r>
    <x v="45"/>
    <x v="41"/>
    <x v="1"/>
    <x v="44"/>
    <x v="4"/>
    <x v="1"/>
    <x v="3"/>
    <x v="12"/>
    <x v="2"/>
  </r>
  <r>
    <x v="46"/>
    <x v="42"/>
    <x v="5"/>
    <x v="45"/>
    <x v="2"/>
    <x v="3"/>
    <x v="3"/>
    <x v="12"/>
    <x v="2"/>
  </r>
  <r>
    <x v="47"/>
    <x v="43"/>
    <x v="5"/>
    <x v="46"/>
    <x v="3"/>
    <x v="3"/>
    <x v="0"/>
    <x v="2"/>
    <x v="1"/>
  </r>
  <r>
    <x v="48"/>
    <x v="44"/>
    <x v="4"/>
    <x v="47"/>
    <x v="0"/>
    <x v="2"/>
    <x v="1"/>
    <x v="5"/>
    <x v="2"/>
  </r>
  <r>
    <x v="49"/>
    <x v="7"/>
    <x v="4"/>
    <x v="48"/>
    <x v="1"/>
    <x v="2"/>
    <x v="4"/>
    <x v="7"/>
    <x v="2"/>
  </r>
  <r>
    <x v="50"/>
    <x v="45"/>
    <x v="4"/>
    <x v="49"/>
    <x v="3"/>
    <x v="2"/>
    <x v="4"/>
    <x v="9"/>
    <x v="3"/>
  </r>
  <r>
    <x v="51"/>
    <x v="46"/>
    <x v="0"/>
    <x v="50"/>
    <x v="2"/>
    <x v="0"/>
    <x v="0"/>
    <x v="8"/>
    <x v="1"/>
  </r>
  <r>
    <x v="52"/>
    <x v="47"/>
    <x v="6"/>
    <x v="51"/>
    <x v="0"/>
    <x v="4"/>
    <x v="4"/>
    <x v="9"/>
    <x v="3"/>
  </r>
  <r>
    <x v="53"/>
    <x v="46"/>
    <x v="6"/>
    <x v="52"/>
    <x v="2"/>
    <x v="4"/>
    <x v="4"/>
    <x v="10"/>
    <x v="3"/>
  </r>
  <r>
    <x v="54"/>
    <x v="48"/>
    <x v="4"/>
    <x v="53"/>
    <x v="2"/>
    <x v="2"/>
    <x v="0"/>
    <x v="7"/>
    <x v="2"/>
  </r>
  <r>
    <x v="55"/>
    <x v="33"/>
    <x v="8"/>
    <x v="54"/>
    <x v="1"/>
    <x v="0"/>
    <x v="2"/>
    <x v="3"/>
    <x v="0"/>
  </r>
  <r>
    <x v="56"/>
    <x v="27"/>
    <x v="1"/>
    <x v="55"/>
    <x v="0"/>
    <x v="1"/>
    <x v="0"/>
    <x v="1"/>
    <x v="1"/>
  </r>
  <r>
    <x v="57"/>
    <x v="49"/>
    <x v="5"/>
    <x v="56"/>
    <x v="4"/>
    <x v="3"/>
    <x v="1"/>
    <x v="12"/>
    <x v="2"/>
  </r>
  <r>
    <x v="58"/>
    <x v="14"/>
    <x v="5"/>
    <x v="57"/>
    <x v="4"/>
    <x v="3"/>
    <x v="1"/>
    <x v="12"/>
    <x v="2"/>
  </r>
  <r>
    <x v="59"/>
    <x v="50"/>
    <x v="2"/>
    <x v="58"/>
    <x v="2"/>
    <x v="0"/>
    <x v="2"/>
    <x v="1"/>
    <x v="1"/>
  </r>
  <r>
    <x v="60"/>
    <x v="51"/>
    <x v="5"/>
    <x v="59"/>
    <x v="1"/>
    <x v="3"/>
    <x v="1"/>
    <x v="8"/>
    <x v="1"/>
  </r>
  <r>
    <x v="61"/>
    <x v="1"/>
    <x v="4"/>
    <x v="60"/>
    <x v="1"/>
    <x v="2"/>
    <x v="4"/>
    <x v="7"/>
    <x v="2"/>
  </r>
  <r>
    <x v="62"/>
    <x v="52"/>
    <x v="4"/>
    <x v="61"/>
    <x v="1"/>
    <x v="2"/>
    <x v="1"/>
    <x v="2"/>
    <x v="1"/>
  </r>
  <r>
    <x v="63"/>
    <x v="53"/>
    <x v="4"/>
    <x v="62"/>
    <x v="4"/>
    <x v="2"/>
    <x v="1"/>
    <x v="9"/>
    <x v="3"/>
  </r>
  <r>
    <x v="64"/>
    <x v="54"/>
    <x v="4"/>
    <x v="63"/>
    <x v="2"/>
    <x v="2"/>
    <x v="3"/>
    <x v="9"/>
    <x v="3"/>
  </r>
  <r>
    <x v="65"/>
    <x v="55"/>
    <x v="0"/>
    <x v="64"/>
    <x v="3"/>
    <x v="0"/>
    <x v="1"/>
    <x v="8"/>
    <x v="1"/>
  </r>
  <r>
    <x v="66"/>
    <x v="30"/>
    <x v="6"/>
    <x v="65"/>
    <x v="1"/>
    <x v="4"/>
    <x v="4"/>
    <x v="12"/>
    <x v="2"/>
  </r>
  <r>
    <x v="67"/>
    <x v="35"/>
    <x v="0"/>
    <x v="66"/>
    <x v="4"/>
    <x v="0"/>
    <x v="3"/>
    <x v="7"/>
    <x v="2"/>
  </r>
  <r>
    <x v="68"/>
    <x v="29"/>
    <x v="0"/>
    <x v="67"/>
    <x v="4"/>
    <x v="0"/>
    <x v="2"/>
    <x v="8"/>
    <x v="1"/>
  </r>
  <r>
    <x v="69"/>
    <x v="14"/>
    <x v="4"/>
    <x v="68"/>
    <x v="4"/>
    <x v="2"/>
    <x v="4"/>
    <x v="10"/>
    <x v="3"/>
  </r>
  <r>
    <x v="70"/>
    <x v="26"/>
    <x v="5"/>
    <x v="69"/>
    <x v="2"/>
    <x v="3"/>
    <x v="1"/>
    <x v="7"/>
    <x v="2"/>
  </r>
  <r>
    <x v="71"/>
    <x v="56"/>
    <x v="0"/>
    <x v="70"/>
    <x v="3"/>
    <x v="0"/>
    <x v="0"/>
    <x v="1"/>
    <x v="1"/>
  </r>
  <r>
    <x v="72"/>
    <x v="38"/>
    <x v="1"/>
    <x v="71"/>
    <x v="2"/>
    <x v="1"/>
    <x v="2"/>
    <x v="8"/>
    <x v="1"/>
  </r>
  <r>
    <x v="73"/>
    <x v="57"/>
    <x v="5"/>
    <x v="72"/>
    <x v="1"/>
    <x v="3"/>
    <x v="0"/>
    <x v="1"/>
    <x v="1"/>
  </r>
  <r>
    <x v="74"/>
    <x v="33"/>
    <x v="4"/>
    <x v="73"/>
    <x v="1"/>
    <x v="2"/>
    <x v="3"/>
    <x v="5"/>
    <x v="2"/>
  </r>
  <r>
    <x v="75"/>
    <x v="58"/>
    <x v="5"/>
    <x v="74"/>
    <x v="3"/>
    <x v="3"/>
    <x v="0"/>
    <x v="2"/>
    <x v="1"/>
  </r>
  <r>
    <x v="76"/>
    <x v="59"/>
    <x v="5"/>
    <x v="75"/>
    <x v="4"/>
    <x v="3"/>
    <x v="1"/>
    <x v="12"/>
    <x v="2"/>
  </r>
  <r>
    <x v="77"/>
    <x v="1"/>
    <x v="0"/>
    <x v="76"/>
    <x v="1"/>
    <x v="0"/>
    <x v="0"/>
    <x v="4"/>
    <x v="0"/>
  </r>
  <r>
    <x v="78"/>
    <x v="60"/>
    <x v="7"/>
    <x v="77"/>
    <x v="0"/>
    <x v="0"/>
    <x v="2"/>
    <x v="4"/>
    <x v="0"/>
  </r>
  <r>
    <x v="79"/>
    <x v="61"/>
    <x v="4"/>
    <x v="78"/>
    <x v="4"/>
    <x v="2"/>
    <x v="3"/>
    <x v="6"/>
    <x v="3"/>
  </r>
  <r>
    <x v="80"/>
    <x v="62"/>
    <x v="1"/>
    <x v="79"/>
    <x v="0"/>
    <x v="1"/>
    <x v="3"/>
    <x v="2"/>
    <x v="1"/>
  </r>
  <r>
    <x v="81"/>
    <x v="63"/>
    <x v="1"/>
    <x v="80"/>
    <x v="2"/>
    <x v="1"/>
    <x v="1"/>
    <x v="5"/>
    <x v="2"/>
  </r>
  <r>
    <x v="82"/>
    <x v="64"/>
    <x v="4"/>
    <x v="81"/>
    <x v="2"/>
    <x v="2"/>
    <x v="4"/>
    <x v="6"/>
    <x v="3"/>
  </r>
  <r>
    <x v="83"/>
    <x v="20"/>
    <x v="2"/>
    <x v="82"/>
    <x v="3"/>
    <x v="0"/>
    <x v="1"/>
    <x v="8"/>
    <x v="1"/>
  </r>
  <r>
    <x v="84"/>
    <x v="65"/>
    <x v="0"/>
    <x v="83"/>
    <x v="1"/>
    <x v="0"/>
    <x v="1"/>
    <x v="0"/>
    <x v="0"/>
  </r>
  <r>
    <x v="85"/>
    <x v="63"/>
    <x v="0"/>
    <x v="84"/>
    <x v="2"/>
    <x v="0"/>
    <x v="2"/>
    <x v="1"/>
    <x v="1"/>
  </r>
  <r>
    <x v="86"/>
    <x v="1"/>
    <x v="1"/>
    <x v="85"/>
    <x v="1"/>
    <x v="1"/>
    <x v="0"/>
    <x v="0"/>
    <x v="0"/>
  </r>
  <r>
    <x v="87"/>
    <x v="66"/>
    <x v="6"/>
    <x v="86"/>
    <x v="4"/>
    <x v="4"/>
    <x v="4"/>
    <x v="11"/>
    <x v="4"/>
  </r>
  <r>
    <x v="88"/>
    <x v="67"/>
    <x v="5"/>
    <x v="87"/>
    <x v="0"/>
    <x v="3"/>
    <x v="3"/>
    <x v="5"/>
    <x v="2"/>
  </r>
  <r>
    <x v="89"/>
    <x v="68"/>
    <x v="5"/>
    <x v="88"/>
    <x v="0"/>
    <x v="3"/>
    <x v="2"/>
    <x v="1"/>
    <x v="1"/>
  </r>
  <r>
    <x v="90"/>
    <x v="69"/>
    <x v="4"/>
    <x v="89"/>
    <x v="4"/>
    <x v="2"/>
    <x v="3"/>
    <x v="6"/>
    <x v="3"/>
  </r>
  <r>
    <x v="91"/>
    <x v="1"/>
    <x v="2"/>
    <x v="90"/>
    <x v="1"/>
    <x v="0"/>
    <x v="2"/>
    <x v="3"/>
    <x v="0"/>
  </r>
  <r>
    <x v="92"/>
    <x v="70"/>
    <x v="4"/>
    <x v="91"/>
    <x v="1"/>
    <x v="2"/>
    <x v="1"/>
    <x v="2"/>
    <x v="1"/>
  </r>
  <r>
    <x v="93"/>
    <x v="71"/>
    <x v="4"/>
    <x v="92"/>
    <x v="4"/>
    <x v="2"/>
    <x v="4"/>
    <x v="10"/>
    <x v="3"/>
  </r>
  <r>
    <x v="94"/>
    <x v="69"/>
    <x v="5"/>
    <x v="93"/>
    <x v="4"/>
    <x v="3"/>
    <x v="0"/>
    <x v="7"/>
    <x v="2"/>
  </r>
  <r>
    <x v="95"/>
    <x v="72"/>
    <x v="0"/>
    <x v="94"/>
    <x v="1"/>
    <x v="0"/>
    <x v="2"/>
    <x v="3"/>
    <x v="0"/>
  </r>
  <r>
    <x v="96"/>
    <x v="73"/>
    <x v="4"/>
    <x v="95"/>
    <x v="4"/>
    <x v="2"/>
    <x v="4"/>
    <x v="10"/>
    <x v="3"/>
  </r>
  <r>
    <x v="97"/>
    <x v="7"/>
    <x v="2"/>
    <x v="96"/>
    <x v="1"/>
    <x v="0"/>
    <x v="2"/>
    <x v="3"/>
    <x v="0"/>
  </r>
  <r>
    <x v="98"/>
    <x v="74"/>
    <x v="4"/>
    <x v="97"/>
    <x v="4"/>
    <x v="2"/>
    <x v="4"/>
    <x v="10"/>
    <x v="3"/>
  </r>
  <r>
    <x v="99"/>
    <x v="75"/>
    <x v="5"/>
    <x v="98"/>
    <x v="0"/>
    <x v="3"/>
    <x v="2"/>
    <x v="1"/>
    <x v="1"/>
  </r>
  <r>
    <x v="100"/>
    <x v="18"/>
    <x v="5"/>
    <x v="99"/>
    <x v="2"/>
    <x v="3"/>
    <x v="3"/>
    <x v="12"/>
    <x v="2"/>
  </r>
  <r>
    <x v="101"/>
    <x v="39"/>
    <x v="2"/>
    <x v="100"/>
    <x v="3"/>
    <x v="0"/>
    <x v="0"/>
    <x v="1"/>
    <x v="1"/>
  </r>
  <r>
    <x v="102"/>
    <x v="76"/>
    <x v="6"/>
    <x v="101"/>
    <x v="4"/>
    <x v="4"/>
    <x v="4"/>
    <x v="11"/>
    <x v="4"/>
  </r>
  <r>
    <x v="103"/>
    <x v="19"/>
    <x v="4"/>
    <x v="102"/>
    <x v="3"/>
    <x v="2"/>
    <x v="1"/>
    <x v="7"/>
    <x v="2"/>
  </r>
  <r>
    <x v="104"/>
    <x v="77"/>
    <x v="0"/>
    <x v="103"/>
    <x v="1"/>
    <x v="0"/>
    <x v="2"/>
    <x v="3"/>
    <x v="0"/>
  </r>
  <r>
    <x v="105"/>
    <x v="78"/>
    <x v="6"/>
    <x v="104"/>
    <x v="2"/>
    <x v="4"/>
    <x v="4"/>
    <x v="10"/>
    <x v="3"/>
  </r>
  <r>
    <x v="106"/>
    <x v="44"/>
    <x v="5"/>
    <x v="105"/>
    <x v="0"/>
    <x v="3"/>
    <x v="3"/>
    <x v="5"/>
    <x v="2"/>
  </r>
  <r>
    <x v="107"/>
    <x v="79"/>
    <x v="5"/>
    <x v="106"/>
    <x v="3"/>
    <x v="3"/>
    <x v="1"/>
    <x v="5"/>
    <x v="2"/>
  </r>
  <r>
    <x v="108"/>
    <x v="80"/>
    <x v="5"/>
    <x v="107"/>
    <x v="3"/>
    <x v="3"/>
    <x v="1"/>
    <x v="5"/>
    <x v="2"/>
  </r>
  <r>
    <x v="109"/>
    <x v="16"/>
    <x v="6"/>
    <x v="108"/>
    <x v="2"/>
    <x v="4"/>
    <x v="4"/>
    <x v="10"/>
    <x v="3"/>
  </r>
  <r>
    <x v="110"/>
    <x v="4"/>
    <x v="8"/>
    <x v="109"/>
    <x v="1"/>
    <x v="0"/>
    <x v="2"/>
    <x v="3"/>
    <x v="0"/>
  </r>
  <r>
    <x v="111"/>
    <x v="81"/>
    <x v="1"/>
    <x v="110"/>
    <x v="3"/>
    <x v="1"/>
    <x v="3"/>
    <x v="5"/>
    <x v="2"/>
  </r>
  <r>
    <x v="112"/>
    <x v="82"/>
    <x v="0"/>
    <x v="111"/>
    <x v="0"/>
    <x v="0"/>
    <x v="2"/>
    <x v="4"/>
    <x v="0"/>
  </r>
  <r>
    <x v="113"/>
    <x v="33"/>
    <x v="0"/>
    <x v="112"/>
    <x v="1"/>
    <x v="0"/>
    <x v="0"/>
    <x v="4"/>
    <x v="0"/>
  </r>
  <r>
    <x v="114"/>
    <x v="83"/>
    <x v="4"/>
    <x v="113"/>
    <x v="2"/>
    <x v="2"/>
    <x v="3"/>
    <x v="9"/>
    <x v="3"/>
  </r>
  <r>
    <x v="115"/>
    <x v="32"/>
    <x v="5"/>
    <x v="114"/>
    <x v="3"/>
    <x v="3"/>
    <x v="3"/>
    <x v="7"/>
    <x v="2"/>
  </r>
  <r>
    <x v="116"/>
    <x v="24"/>
    <x v="5"/>
    <x v="115"/>
    <x v="3"/>
    <x v="3"/>
    <x v="1"/>
    <x v="5"/>
    <x v="2"/>
  </r>
  <r>
    <x v="117"/>
    <x v="84"/>
    <x v="4"/>
    <x v="116"/>
    <x v="4"/>
    <x v="2"/>
    <x v="3"/>
    <x v="6"/>
    <x v="3"/>
  </r>
  <r>
    <x v="118"/>
    <x v="85"/>
    <x v="5"/>
    <x v="117"/>
    <x v="4"/>
    <x v="3"/>
    <x v="3"/>
    <x v="9"/>
    <x v="3"/>
  </r>
  <r>
    <x v="119"/>
    <x v="61"/>
    <x v="4"/>
    <x v="118"/>
    <x v="4"/>
    <x v="2"/>
    <x v="4"/>
    <x v="10"/>
    <x v="3"/>
  </r>
  <r>
    <x v="120"/>
    <x v="86"/>
    <x v="4"/>
    <x v="119"/>
    <x v="2"/>
    <x v="2"/>
    <x v="4"/>
    <x v="6"/>
    <x v="3"/>
  </r>
  <r>
    <x v="121"/>
    <x v="87"/>
    <x v="5"/>
    <x v="120"/>
    <x v="0"/>
    <x v="3"/>
    <x v="1"/>
    <x v="2"/>
    <x v="1"/>
  </r>
  <r>
    <x v="122"/>
    <x v="63"/>
    <x v="5"/>
    <x v="121"/>
    <x v="2"/>
    <x v="3"/>
    <x v="3"/>
    <x v="12"/>
    <x v="2"/>
  </r>
  <r>
    <x v="123"/>
    <x v="88"/>
    <x v="2"/>
    <x v="122"/>
    <x v="2"/>
    <x v="0"/>
    <x v="0"/>
    <x v="8"/>
    <x v="1"/>
  </r>
  <r>
    <x v="124"/>
    <x v="89"/>
    <x v="0"/>
    <x v="123"/>
    <x v="1"/>
    <x v="0"/>
    <x v="2"/>
    <x v="3"/>
    <x v="0"/>
  </r>
  <r>
    <x v="125"/>
    <x v="31"/>
    <x v="1"/>
    <x v="124"/>
    <x v="3"/>
    <x v="1"/>
    <x v="0"/>
    <x v="8"/>
    <x v="1"/>
  </r>
  <r>
    <x v="126"/>
    <x v="90"/>
    <x v="1"/>
    <x v="125"/>
    <x v="0"/>
    <x v="1"/>
    <x v="1"/>
    <x v="8"/>
    <x v="1"/>
  </r>
  <r>
    <x v="127"/>
    <x v="91"/>
    <x v="1"/>
    <x v="126"/>
    <x v="3"/>
    <x v="1"/>
    <x v="1"/>
    <x v="2"/>
    <x v="1"/>
  </r>
  <r>
    <x v="128"/>
    <x v="87"/>
    <x v="5"/>
    <x v="127"/>
    <x v="0"/>
    <x v="3"/>
    <x v="1"/>
    <x v="2"/>
    <x v="1"/>
  </r>
  <r>
    <x v="129"/>
    <x v="57"/>
    <x v="1"/>
    <x v="128"/>
    <x v="1"/>
    <x v="1"/>
    <x v="3"/>
    <x v="8"/>
    <x v="1"/>
  </r>
  <r>
    <x v="130"/>
    <x v="92"/>
    <x v="6"/>
    <x v="129"/>
    <x v="4"/>
    <x v="4"/>
    <x v="4"/>
    <x v="11"/>
    <x v="4"/>
  </r>
  <r>
    <x v="131"/>
    <x v="93"/>
    <x v="6"/>
    <x v="130"/>
    <x v="4"/>
    <x v="4"/>
    <x v="3"/>
    <x v="10"/>
    <x v="3"/>
  </r>
  <r>
    <x v="132"/>
    <x v="60"/>
    <x v="0"/>
    <x v="131"/>
    <x v="0"/>
    <x v="0"/>
    <x v="3"/>
    <x v="8"/>
    <x v="1"/>
  </r>
  <r>
    <x v="133"/>
    <x v="94"/>
    <x v="4"/>
    <x v="132"/>
    <x v="1"/>
    <x v="2"/>
    <x v="3"/>
    <x v="5"/>
    <x v="2"/>
  </r>
  <r>
    <x v="134"/>
    <x v="95"/>
    <x v="2"/>
    <x v="133"/>
    <x v="0"/>
    <x v="0"/>
    <x v="2"/>
    <x v="4"/>
    <x v="0"/>
  </r>
  <r>
    <x v="135"/>
    <x v="96"/>
    <x v="4"/>
    <x v="134"/>
    <x v="3"/>
    <x v="2"/>
    <x v="4"/>
    <x v="9"/>
    <x v="3"/>
  </r>
  <r>
    <x v="136"/>
    <x v="97"/>
    <x v="0"/>
    <x v="135"/>
    <x v="2"/>
    <x v="0"/>
    <x v="0"/>
    <x v="8"/>
    <x v="1"/>
  </r>
  <r>
    <x v="137"/>
    <x v="3"/>
    <x v="1"/>
    <x v="136"/>
    <x v="0"/>
    <x v="1"/>
    <x v="0"/>
    <x v="1"/>
    <x v="1"/>
  </r>
  <r>
    <x v="138"/>
    <x v="98"/>
    <x v="0"/>
    <x v="137"/>
    <x v="3"/>
    <x v="0"/>
    <x v="2"/>
    <x v="0"/>
    <x v="0"/>
  </r>
  <r>
    <x v="139"/>
    <x v="99"/>
    <x v="0"/>
    <x v="138"/>
    <x v="1"/>
    <x v="0"/>
    <x v="2"/>
    <x v="3"/>
    <x v="0"/>
  </r>
  <r>
    <x v="140"/>
    <x v="100"/>
    <x v="1"/>
    <x v="139"/>
    <x v="0"/>
    <x v="1"/>
    <x v="0"/>
    <x v="1"/>
    <x v="1"/>
  </r>
  <r>
    <x v="141"/>
    <x v="101"/>
    <x v="5"/>
    <x v="140"/>
    <x v="4"/>
    <x v="3"/>
    <x v="2"/>
    <x v="5"/>
    <x v="2"/>
  </r>
  <r>
    <x v="142"/>
    <x v="102"/>
    <x v="4"/>
    <x v="141"/>
    <x v="2"/>
    <x v="2"/>
    <x v="4"/>
    <x v="6"/>
    <x v="3"/>
  </r>
  <r>
    <x v="143"/>
    <x v="103"/>
    <x v="2"/>
    <x v="142"/>
    <x v="3"/>
    <x v="0"/>
    <x v="2"/>
    <x v="0"/>
    <x v="0"/>
  </r>
  <r>
    <x v="144"/>
    <x v="104"/>
    <x v="2"/>
    <x v="143"/>
    <x v="3"/>
    <x v="0"/>
    <x v="2"/>
    <x v="0"/>
    <x v="0"/>
  </r>
  <r>
    <x v="145"/>
    <x v="105"/>
    <x v="8"/>
    <x v="144"/>
    <x v="3"/>
    <x v="0"/>
    <x v="0"/>
    <x v="1"/>
    <x v="1"/>
  </r>
  <r>
    <x v="146"/>
    <x v="38"/>
    <x v="4"/>
    <x v="145"/>
    <x v="2"/>
    <x v="2"/>
    <x v="3"/>
    <x v="9"/>
    <x v="3"/>
  </r>
  <r>
    <x v="147"/>
    <x v="106"/>
    <x v="5"/>
    <x v="146"/>
    <x v="4"/>
    <x v="3"/>
    <x v="0"/>
    <x v="7"/>
    <x v="2"/>
  </r>
  <r>
    <x v="148"/>
    <x v="67"/>
    <x v="8"/>
    <x v="147"/>
    <x v="0"/>
    <x v="0"/>
    <x v="2"/>
    <x v="4"/>
    <x v="0"/>
  </r>
  <r>
    <x v="149"/>
    <x v="68"/>
    <x v="0"/>
    <x v="148"/>
    <x v="0"/>
    <x v="0"/>
    <x v="0"/>
    <x v="0"/>
    <x v="0"/>
  </r>
  <r>
    <x v="150"/>
    <x v="6"/>
    <x v="0"/>
    <x v="149"/>
    <x v="0"/>
    <x v="0"/>
    <x v="0"/>
    <x v="0"/>
    <x v="0"/>
  </r>
  <r>
    <x v="151"/>
    <x v="107"/>
    <x v="1"/>
    <x v="150"/>
    <x v="1"/>
    <x v="1"/>
    <x v="1"/>
    <x v="1"/>
    <x v="1"/>
  </r>
  <r>
    <x v="152"/>
    <x v="70"/>
    <x v="7"/>
    <x v="151"/>
    <x v="1"/>
    <x v="0"/>
    <x v="2"/>
    <x v="3"/>
    <x v="0"/>
  </r>
  <r>
    <x v="153"/>
    <x v="16"/>
    <x v="4"/>
    <x v="152"/>
    <x v="2"/>
    <x v="2"/>
    <x v="4"/>
    <x v="6"/>
    <x v="3"/>
  </r>
  <r>
    <x v="154"/>
    <x v="108"/>
    <x v="5"/>
    <x v="153"/>
    <x v="4"/>
    <x v="3"/>
    <x v="3"/>
    <x v="9"/>
    <x v="3"/>
  </r>
  <r>
    <x v="155"/>
    <x v="109"/>
    <x v="1"/>
    <x v="154"/>
    <x v="3"/>
    <x v="1"/>
    <x v="1"/>
    <x v="2"/>
    <x v="1"/>
  </r>
  <r>
    <x v="156"/>
    <x v="40"/>
    <x v="1"/>
    <x v="149"/>
    <x v="2"/>
    <x v="1"/>
    <x v="0"/>
    <x v="2"/>
    <x v="1"/>
  </r>
  <r>
    <x v="157"/>
    <x v="110"/>
    <x v="1"/>
    <x v="155"/>
    <x v="1"/>
    <x v="1"/>
    <x v="2"/>
    <x v="4"/>
    <x v="0"/>
  </r>
  <r>
    <x v="158"/>
    <x v="111"/>
    <x v="6"/>
    <x v="156"/>
    <x v="4"/>
    <x v="4"/>
    <x v="4"/>
    <x v="11"/>
    <x v="4"/>
  </r>
  <r>
    <x v="159"/>
    <x v="10"/>
    <x v="5"/>
    <x v="157"/>
    <x v="0"/>
    <x v="3"/>
    <x v="1"/>
    <x v="2"/>
    <x v="1"/>
  </r>
  <r>
    <x v="160"/>
    <x v="112"/>
    <x v="4"/>
    <x v="158"/>
    <x v="4"/>
    <x v="2"/>
    <x v="1"/>
    <x v="9"/>
    <x v="3"/>
  </r>
  <r>
    <x v="161"/>
    <x v="0"/>
    <x v="1"/>
    <x v="159"/>
    <x v="0"/>
    <x v="1"/>
    <x v="0"/>
    <x v="1"/>
    <x v="1"/>
  </r>
  <r>
    <x v="162"/>
    <x v="113"/>
    <x v="5"/>
    <x v="160"/>
    <x v="3"/>
    <x v="3"/>
    <x v="3"/>
    <x v="7"/>
    <x v="2"/>
  </r>
  <r>
    <x v="163"/>
    <x v="68"/>
    <x v="5"/>
    <x v="161"/>
    <x v="0"/>
    <x v="3"/>
    <x v="0"/>
    <x v="8"/>
    <x v="1"/>
  </r>
  <r>
    <x v="164"/>
    <x v="87"/>
    <x v="1"/>
    <x v="162"/>
    <x v="0"/>
    <x v="1"/>
    <x v="1"/>
    <x v="8"/>
    <x v="1"/>
  </r>
  <r>
    <x v="165"/>
    <x v="114"/>
    <x v="4"/>
    <x v="163"/>
    <x v="0"/>
    <x v="2"/>
    <x v="1"/>
    <x v="5"/>
    <x v="2"/>
  </r>
  <r>
    <x v="166"/>
    <x v="0"/>
    <x v="2"/>
    <x v="164"/>
    <x v="0"/>
    <x v="0"/>
    <x v="0"/>
    <x v="0"/>
    <x v="0"/>
  </r>
  <r>
    <x v="167"/>
    <x v="21"/>
    <x v="1"/>
    <x v="165"/>
    <x v="0"/>
    <x v="1"/>
    <x v="2"/>
    <x v="0"/>
    <x v="0"/>
  </r>
  <r>
    <x v="168"/>
    <x v="30"/>
    <x v="0"/>
    <x v="166"/>
    <x v="1"/>
    <x v="0"/>
    <x v="2"/>
    <x v="3"/>
    <x v="0"/>
  </r>
  <r>
    <x v="169"/>
    <x v="115"/>
    <x v="0"/>
    <x v="167"/>
    <x v="3"/>
    <x v="0"/>
    <x v="2"/>
    <x v="0"/>
    <x v="0"/>
  </r>
  <r>
    <x v="170"/>
    <x v="116"/>
    <x v="0"/>
    <x v="168"/>
    <x v="0"/>
    <x v="0"/>
    <x v="1"/>
    <x v="1"/>
    <x v="1"/>
  </r>
  <r>
    <x v="171"/>
    <x v="73"/>
    <x v="6"/>
    <x v="169"/>
    <x v="4"/>
    <x v="4"/>
    <x v="4"/>
    <x v="11"/>
    <x v="4"/>
  </r>
  <r>
    <x v="172"/>
    <x v="117"/>
    <x v="1"/>
    <x v="170"/>
    <x v="4"/>
    <x v="1"/>
    <x v="3"/>
    <x v="12"/>
    <x v="2"/>
  </r>
  <r>
    <x v="173"/>
    <x v="118"/>
    <x v="5"/>
    <x v="171"/>
    <x v="2"/>
    <x v="3"/>
    <x v="3"/>
    <x v="12"/>
    <x v="2"/>
  </r>
  <r>
    <x v="174"/>
    <x v="119"/>
    <x v="4"/>
    <x v="172"/>
    <x v="3"/>
    <x v="2"/>
    <x v="0"/>
    <x v="5"/>
    <x v="2"/>
  </r>
  <r>
    <x v="175"/>
    <x v="120"/>
    <x v="4"/>
    <x v="173"/>
    <x v="2"/>
    <x v="2"/>
    <x v="4"/>
    <x v="6"/>
    <x v="3"/>
  </r>
  <r>
    <x v="176"/>
    <x v="65"/>
    <x v="4"/>
    <x v="174"/>
    <x v="1"/>
    <x v="2"/>
    <x v="3"/>
    <x v="5"/>
    <x v="2"/>
  </r>
  <r>
    <x v="177"/>
    <x v="121"/>
    <x v="4"/>
    <x v="175"/>
    <x v="4"/>
    <x v="2"/>
    <x v="4"/>
    <x v="10"/>
    <x v="3"/>
  </r>
  <r>
    <x v="178"/>
    <x v="122"/>
    <x v="4"/>
    <x v="176"/>
    <x v="2"/>
    <x v="2"/>
    <x v="3"/>
    <x v="9"/>
    <x v="3"/>
  </r>
  <r>
    <x v="179"/>
    <x v="21"/>
    <x v="0"/>
    <x v="177"/>
    <x v="0"/>
    <x v="0"/>
    <x v="1"/>
    <x v="1"/>
    <x v="1"/>
  </r>
  <r>
    <x v="180"/>
    <x v="123"/>
    <x v="6"/>
    <x v="178"/>
    <x v="4"/>
    <x v="4"/>
    <x v="4"/>
    <x v="11"/>
    <x v="4"/>
  </r>
  <r>
    <x v="181"/>
    <x v="124"/>
    <x v="6"/>
    <x v="179"/>
    <x v="2"/>
    <x v="4"/>
    <x v="3"/>
    <x v="6"/>
    <x v="3"/>
  </r>
  <r>
    <x v="182"/>
    <x v="125"/>
    <x v="6"/>
    <x v="180"/>
    <x v="3"/>
    <x v="4"/>
    <x v="4"/>
    <x v="6"/>
    <x v="3"/>
  </r>
  <r>
    <x v="183"/>
    <x v="126"/>
    <x v="5"/>
    <x v="181"/>
    <x v="0"/>
    <x v="3"/>
    <x v="3"/>
    <x v="5"/>
    <x v="2"/>
  </r>
  <r>
    <x v="184"/>
    <x v="16"/>
    <x v="1"/>
    <x v="182"/>
    <x v="2"/>
    <x v="1"/>
    <x v="1"/>
    <x v="5"/>
    <x v="2"/>
  </r>
  <r>
    <x v="185"/>
    <x v="127"/>
    <x v="4"/>
    <x v="183"/>
    <x v="4"/>
    <x v="2"/>
    <x v="4"/>
    <x v="10"/>
    <x v="3"/>
  </r>
  <r>
    <x v="186"/>
    <x v="11"/>
    <x v="1"/>
    <x v="184"/>
    <x v="1"/>
    <x v="1"/>
    <x v="1"/>
    <x v="1"/>
    <x v="1"/>
  </r>
  <r>
    <x v="187"/>
    <x v="42"/>
    <x v="4"/>
    <x v="185"/>
    <x v="2"/>
    <x v="2"/>
    <x v="4"/>
    <x v="6"/>
    <x v="3"/>
  </r>
  <r>
    <x v="188"/>
    <x v="128"/>
    <x v="6"/>
    <x v="186"/>
    <x v="2"/>
    <x v="4"/>
    <x v="4"/>
    <x v="10"/>
    <x v="3"/>
  </r>
  <r>
    <x v="189"/>
    <x v="10"/>
    <x v="0"/>
    <x v="187"/>
    <x v="0"/>
    <x v="0"/>
    <x v="0"/>
    <x v="0"/>
    <x v="0"/>
  </r>
  <r>
    <x v="190"/>
    <x v="82"/>
    <x v="1"/>
    <x v="188"/>
    <x v="0"/>
    <x v="1"/>
    <x v="3"/>
    <x v="2"/>
    <x v="1"/>
  </r>
  <r>
    <x v="191"/>
    <x v="77"/>
    <x v="4"/>
    <x v="189"/>
    <x v="1"/>
    <x v="2"/>
    <x v="3"/>
    <x v="5"/>
    <x v="2"/>
  </r>
  <r>
    <x v="192"/>
    <x v="7"/>
    <x v="5"/>
    <x v="190"/>
    <x v="1"/>
    <x v="3"/>
    <x v="4"/>
    <x v="5"/>
    <x v="2"/>
  </r>
  <r>
    <x v="193"/>
    <x v="65"/>
    <x v="0"/>
    <x v="191"/>
    <x v="1"/>
    <x v="0"/>
    <x v="0"/>
    <x v="4"/>
    <x v="0"/>
  </r>
  <r>
    <x v="194"/>
    <x v="129"/>
    <x v="6"/>
    <x v="192"/>
    <x v="4"/>
    <x v="4"/>
    <x v="4"/>
    <x v="11"/>
    <x v="4"/>
  </r>
  <r>
    <x v="195"/>
    <x v="9"/>
    <x v="5"/>
    <x v="193"/>
    <x v="1"/>
    <x v="3"/>
    <x v="4"/>
    <x v="5"/>
    <x v="2"/>
  </r>
  <r>
    <x v="196"/>
    <x v="97"/>
    <x v="6"/>
    <x v="194"/>
    <x v="2"/>
    <x v="4"/>
    <x v="4"/>
    <x v="10"/>
    <x v="3"/>
  </r>
  <r>
    <x v="197"/>
    <x v="130"/>
    <x v="5"/>
    <x v="195"/>
    <x v="4"/>
    <x v="3"/>
    <x v="0"/>
    <x v="7"/>
    <x v="2"/>
  </r>
  <r>
    <x v="198"/>
    <x v="8"/>
    <x v="4"/>
    <x v="196"/>
    <x v="0"/>
    <x v="2"/>
    <x v="4"/>
    <x v="12"/>
    <x v="2"/>
  </r>
  <r>
    <x v="199"/>
    <x v="63"/>
    <x v="5"/>
    <x v="197"/>
    <x v="2"/>
    <x v="3"/>
    <x v="0"/>
    <x v="5"/>
    <x v="2"/>
  </r>
  <r>
    <x v="200"/>
    <x v="63"/>
    <x v="5"/>
    <x v="198"/>
    <x v="2"/>
    <x v="3"/>
    <x v="3"/>
    <x v="12"/>
    <x v="2"/>
  </r>
  <r>
    <x v="201"/>
    <x v="131"/>
    <x v="1"/>
    <x v="199"/>
    <x v="4"/>
    <x v="1"/>
    <x v="1"/>
    <x v="7"/>
    <x v="2"/>
  </r>
  <r>
    <x v="202"/>
    <x v="9"/>
    <x v="4"/>
    <x v="200"/>
    <x v="1"/>
    <x v="2"/>
    <x v="4"/>
    <x v="7"/>
    <x v="2"/>
  </r>
  <r>
    <x v="203"/>
    <x v="1"/>
    <x v="5"/>
    <x v="201"/>
    <x v="1"/>
    <x v="3"/>
    <x v="3"/>
    <x v="2"/>
    <x v="1"/>
  </r>
  <r>
    <x v="204"/>
    <x v="132"/>
    <x v="1"/>
    <x v="202"/>
    <x v="2"/>
    <x v="1"/>
    <x v="3"/>
    <x v="7"/>
    <x v="2"/>
  </r>
  <r>
    <x v="205"/>
    <x v="29"/>
    <x v="2"/>
    <x v="203"/>
    <x v="4"/>
    <x v="0"/>
    <x v="2"/>
    <x v="8"/>
    <x v="1"/>
  </r>
  <r>
    <x v="206"/>
    <x v="133"/>
    <x v="0"/>
    <x v="204"/>
    <x v="3"/>
    <x v="0"/>
    <x v="2"/>
    <x v="0"/>
    <x v="0"/>
  </r>
  <r>
    <x v="207"/>
    <x v="134"/>
    <x v="5"/>
    <x v="205"/>
    <x v="3"/>
    <x v="3"/>
    <x v="3"/>
    <x v="7"/>
    <x v="2"/>
  </r>
  <r>
    <x v="208"/>
    <x v="7"/>
    <x v="5"/>
    <x v="206"/>
    <x v="1"/>
    <x v="3"/>
    <x v="1"/>
    <x v="8"/>
    <x v="1"/>
  </r>
  <r>
    <x v="209"/>
    <x v="110"/>
    <x v="4"/>
    <x v="207"/>
    <x v="1"/>
    <x v="2"/>
    <x v="1"/>
    <x v="2"/>
    <x v="1"/>
  </r>
  <r>
    <x v="210"/>
    <x v="103"/>
    <x v="5"/>
    <x v="208"/>
    <x v="3"/>
    <x v="3"/>
    <x v="0"/>
    <x v="2"/>
    <x v="1"/>
  </r>
  <r>
    <x v="211"/>
    <x v="135"/>
    <x v="4"/>
    <x v="209"/>
    <x v="4"/>
    <x v="2"/>
    <x v="3"/>
    <x v="6"/>
    <x v="3"/>
  </r>
  <r>
    <x v="212"/>
    <x v="136"/>
    <x v="1"/>
    <x v="210"/>
    <x v="1"/>
    <x v="1"/>
    <x v="3"/>
    <x v="8"/>
    <x v="1"/>
  </r>
  <r>
    <x v="213"/>
    <x v="137"/>
    <x v="0"/>
    <x v="211"/>
    <x v="0"/>
    <x v="0"/>
    <x v="0"/>
    <x v="0"/>
    <x v="0"/>
  </r>
  <r>
    <x v="214"/>
    <x v="77"/>
    <x v="2"/>
    <x v="212"/>
    <x v="1"/>
    <x v="0"/>
    <x v="2"/>
    <x v="3"/>
    <x v="0"/>
  </r>
  <r>
    <x v="215"/>
    <x v="109"/>
    <x v="5"/>
    <x v="213"/>
    <x v="3"/>
    <x v="3"/>
    <x v="4"/>
    <x v="12"/>
    <x v="2"/>
  </r>
  <r>
    <x v="216"/>
    <x v="7"/>
    <x v="8"/>
    <x v="214"/>
    <x v="1"/>
    <x v="0"/>
    <x v="2"/>
    <x v="3"/>
    <x v="0"/>
  </r>
  <r>
    <x v="217"/>
    <x v="24"/>
    <x v="2"/>
    <x v="215"/>
    <x v="3"/>
    <x v="0"/>
    <x v="2"/>
    <x v="0"/>
    <x v="0"/>
  </r>
  <r>
    <x v="218"/>
    <x v="17"/>
    <x v="1"/>
    <x v="216"/>
    <x v="3"/>
    <x v="1"/>
    <x v="3"/>
    <x v="5"/>
    <x v="2"/>
  </r>
  <r>
    <x v="219"/>
    <x v="125"/>
    <x v="1"/>
    <x v="217"/>
    <x v="3"/>
    <x v="1"/>
    <x v="0"/>
    <x v="8"/>
    <x v="1"/>
  </r>
  <r>
    <x v="220"/>
    <x v="138"/>
    <x v="5"/>
    <x v="218"/>
    <x v="3"/>
    <x v="3"/>
    <x v="1"/>
    <x v="5"/>
    <x v="2"/>
  </r>
  <r>
    <x v="221"/>
    <x v="139"/>
    <x v="4"/>
    <x v="219"/>
    <x v="3"/>
    <x v="2"/>
    <x v="4"/>
    <x v="9"/>
    <x v="3"/>
  </r>
  <r>
    <x v="222"/>
    <x v="140"/>
    <x v="5"/>
    <x v="220"/>
    <x v="2"/>
    <x v="3"/>
    <x v="1"/>
    <x v="7"/>
    <x v="2"/>
  </r>
  <r>
    <x v="223"/>
    <x v="141"/>
    <x v="4"/>
    <x v="221"/>
    <x v="3"/>
    <x v="2"/>
    <x v="4"/>
    <x v="9"/>
    <x v="3"/>
  </r>
  <r>
    <x v="224"/>
    <x v="142"/>
    <x v="4"/>
    <x v="222"/>
    <x v="0"/>
    <x v="2"/>
    <x v="1"/>
    <x v="5"/>
    <x v="2"/>
  </r>
  <r>
    <x v="225"/>
    <x v="60"/>
    <x v="0"/>
    <x v="72"/>
    <x v="0"/>
    <x v="0"/>
    <x v="0"/>
    <x v="0"/>
    <x v="0"/>
  </r>
  <r>
    <x v="226"/>
    <x v="136"/>
    <x v="0"/>
    <x v="223"/>
    <x v="1"/>
    <x v="0"/>
    <x v="2"/>
    <x v="3"/>
    <x v="0"/>
  </r>
  <r>
    <x v="227"/>
    <x v="143"/>
    <x v="6"/>
    <x v="224"/>
    <x v="2"/>
    <x v="4"/>
    <x v="3"/>
    <x v="6"/>
    <x v="3"/>
  </r>
  <r>
    <x v="228"/>
    <x v="81"/>
    <x v="1"/>
    <x v="225"/>
    <x v="3"/>
    <x v="1"/>
    <x v="0"/>
    <x v="8"/>
    <x v="1"/>
  </r>
  <r>
    <x v="229"/>
    <x v="9"/>
    <x v="6"/>
    <x v="226"/>
    <x v="1"/>
    <x v="4"/>
    <x v="4"/>
    <x v="12"/>
    <x v="2"/>
  </r>
  <r>
    <x v="230"/>
    <x v="60"/>
    <x v="5"/>
    <x v="227"/>
    <x v="0"/>
    <x v="3"/>
    <x v="1"/>
    <x v="2"/>
    <x v="1"/>
  </r>
  <r>
    <x v="231"/>
    <x v="94"/>
    <x v="1"/>
    <x v="228"/>
    <x v="1"/>
    <x v="1"/>
    <x v="2"/>
    <x v="4"/>
    <x v="0"/>
  </r>
  <r>
    <x v="232"/>
    <x v="18"/>
    <x v="0"/>
    <x v="229"/>
    <x v="2"/>
    <x v="0"/>
    <x v="2"/>
    <x v="1"/>
    <x v="1"/>
  </r>
  <r>
    <x v="233"/>
    <x v="144"/>
    <x v="4"/>
    <x v="230"/>
    <x v="4"/>
    <x v="2"/>
    <x v="3"/>
    <x v="6"/>
    <x v="3"/>
  </r>
  <r>
    <x v="234"/>
    <x v="94"/>
    <x v="5"/>
    <x v="231"/>
    <x v="1"/>
    <x v="3"/>
    <x v="0"/>
    <x v="1"/>
    <x v="1"/>
  </r>
  <r>
    <x v="235"/>
    <x v="145"/>
    <x v="5"/>
    <x v="232"/>
    <x v="2"/>
    <x v="3"/>
    <x v="3"/>
    <x v="12"/>
    <x v="2"/>
  </r>
  <r>
    <x v="236"/>
    <x v="105"/>
    <x v="4"/>
    <x v="233"/>
    <x v="3"/>
    <x v="2"/>
    <x v="4"/>
    <x v="9"/>
    <x v="3"/>
  </r>
  <r>
    <x v="237"/>
    <x v="91"/>
    <x v="4"/>
    <x v="234"/>
    <x v="3"/>
    <x v="2"/>
    <x v="1"/>
    <x v="7"/>
    <x v="2"/>
  </r>
  <r>
    <x v="238"/>
    <x v="119"/>
    <x v="5"/>
    <x v="235"/>
    <x v="3"/>
    <x v="3"/>
    <x v="1"/>
    <x v="5"/>
    <x v="2"/>
  </r>
  <r>
    <x v="239"/>
    <x v="33"/>
    <x v="8"/>
    <x v="236"/>
    <x v="1"/>
    <x v="0"/>
    <x v="2"/>
    <x v="3"/>
    <x v="0"/>
  </r>
  <r>
    <x v="240"/>
    <x v="146"/>
    <x v="4"/>
    <x v="237"/>
    <x v="4"/>
    <x v="2"/>
    <x v="4"/>
    <x v="10"/>
    <x v="3"/>
  </r>
  <r>
    <x v="241"/>
    <x v="53"/>
    <x v="6"/>
    <x v="238"/>
    <x v="4"/>
    <x v="4"/>
    <x v="4"/>
    <x v="11"/>
    <x v="4"/>
  </r>
  <r>
    <x v="242"/>
    <x v="147"/>
    <x v="6"/>
    <x v="239"/>
    <x v="2"/>
    <x v="4"/>
    <x v="4"/>
    <x v="10"/>
    <x v="3"/>
  </r>
  <r>
    <x v="243"/>
    <x v="47"/>
    <x v="0"/>
    <x v="240"/>
    <x v="0"/>
    <x v="0"/>
    <x v="0"/>
    <x v="0"/>
    <x v="0"/>
  </r>
  <r>
    <x v="244"/>
    <x v="148"/>
    <x v="6"/>
    <x v="241"/>
    <x v="4"/>
    <x v="4"/>
    <x v="4"/>
    <x v="11"/>
    <x v="4"/>
  </r>
  <r>
    <x v="245"/>
    <x v="111"/>
    <x v="4"/>
    <x v="242"/>
    <x v="4"/>
    <x v="2"/>
    <x v="1"/>
    <x v="9"/>
    <x v="3"/>
  </r>
  <r>
    <x v="246"/>
    <x v="149"/>
    <x v="6"/>
    <x v="243"/>
    <x v="3"/>
    <x v="4"/>
    <x v="3"/>
    <x v="9"/>
    <x v="3"/>
  </r>
  <r>
    <x v="247"/>
    <x v="62"/>
    <x v="2"/>
    <x v="244"/>
    <x v="0"/>
    <x v="0"/>
    <x v="1"/>
    <x v="1"/>
    <x v="1"/>
  </r>
  <r>
    <x v="248"/>
    <x v="52"/>
    <x v="0"/>
    <x v="245"/>
    <x v="1"/>
    <x v="0"/>
    <x v="2"/>
    <x v="3"/>
    <x v="0"/>
  </r>
  <r>
    <x v="249"/>
    <x v="141"/>
    <x v="5"/>
    <x v="246"/>
    <x v="3"/>
    <x v="3"/>
    <x v="1"/>
    <x v="5"/>
    <x v="2"/>
  </r>
  <r>
    <x v="250"/>
    <x v="87"/>
    <x v="2"/>
    <x v="247"/>
    <x v="0"/>
    <x v="0"/>
    <x v="2"/>
    <x v="4"/>
    <x v="0"/>
  </r>
  <r>
    <x v="251"/>
    <x v="77"/>
    <x v="4"/>
    <x v="248"/>
    <x v="1"/>
    <x v="2"/>
    <x v="1"/>
    <x v="2"/>
    <x v="1"/>
  </r>
  <r>
    <x v="252"/>
    <x v="15"/>
    <x v="1"/>
    <x v="249"/>
    <x v="3"/>
    <x v="1"/>
    <x v="3"/>
    <x v="5"/>
    <x v="2"/>
  </r>
  <r>
    <x v="253"/>
    <x v="18"/>
    <x v="2"/>
    <x v="250"/>
    <x v="2"/>
    <x v="0"/>
    <x v="2"/>
    <x v="1"/>
    <x v="1"/>
  </r>
  <r>
    <x v="254"/>
    <x v="150"/>
    <x v="5"/>
    <x v="251"/>
    <x v="4"/>
    <x v="3"/>
    <x v="0"/>
    <x v="7"/>
    <x v="2"/>
  </r>
  <r>
    <x v="255"/>
    <x v="84"/>
    <x v="1"/>
    <x v="252"/>
    <x v="4"/>
    <x v="1"/>
    <x v="0"/>
    <x v="5"/>
    <x v="2"/>
  </r>
  <r>
    <x v="256"/>
    <x v="22"/>
    <x v="1"/>
    <x v="253"/>
    <x v="2"/>
    <x v="1"/>
    <x v="0"/>
    <x v="2"/>
    <x v="1"/>
  </r>
  <r>
    <x v="257"/>
    <x v="151"/>
    <x v="0"/>
    <x v="254"/>
    <x v="0"/>
    <x v="0"/>
    <x v="2"/>
    <x v="4"/>
    <x v="0"/>
  </r>
  <r>
    <x v="258"/>
    <x v="152"/>
    <x v="6"/>
    <x v="255"/>
    <x v="4"/>
    <x v="4"/>
    <x v="4"/>
    <x v="11"/>
    <x v="4"/>
  </r>
  <r>
    <x v="259"/>
    <x v="35"/>
    <x v="5"/>
    <x v="256"/>
    <x v="4"/>
    <x v="3"/>
    <x v="1"/>
    <x v="12"/>
    <x v="2"/>
  </r>
  <r>
    <x v="260"/>
    <x v="62"/>
    <x v="5"/>
    <x v="257"/>
    <x v="0"/>
    <x v="3"/>
    <x v="0"/>
    <x v="8"/>
    <x v="1"/>
  </r>
  <r>
    <x v="261"/>
    <x v="153"/>
    <x v="4"/>
    <x v="258"/>
    <x v="4"/>
    <x v="2"/>
    <x v="3"/>
    <x v="6"/>
    <x v="3"/>
  </r>
  <r>
    <x v="262"/>
    <x v="108"/>
    <x v="4"/>
    <x v="259"/>
    <x v="4"/>
    <x v="2"/>
    <x v="1"/>
    <x v="9"/>
    <x v="3"/>
  </r>
  <r>
    <x v="263"/>
    <x v="86"/>
    <x v="5"/>
    <x v="260"/>
    <x v="2"/>
    <x v="3"/>
    <x v="3"/>
    <x v="12"/>
    <x v="2"/>
  </r>
  <r>
    <x v="264"/>
    <x v="149"/>
    <x v="4"/>
    <x v="261"/>
    <x v="3"/>
    <x v="2"/>
    <x v="3"/>
    <x v="12"/>
    <x v="2"/>
  </r>
  <r>
    <x v="265"/>
    <x v="135"/>
    <x v="6"/>
    <x v="194"/>
    <x v="4"/>
    <x v="4"/>
    <x v="4"/>
    <x v="11"/>
    <x v="4"/>
  </r>
  <r>
    <x v="266"/>
    <x v="41"/>
    <x v="4"/>
    <x v="262"/>
    <x v="4"/>
    <x v="2"/>
    <x v="4"/>
    <x v="10"/>
    <x v="3"/>
  </r>
  <r>
    <x v="267"/>
    <x v="154"/>
    <x v="5"/>
    <x v="263"/>
    <x v="4"/>
    <x v="3"/>
    <x v="1"/>
    <x v="12"/>
    <x v="2"/>
  </r>
  <r>
    <x v="268"/>
    <x v="47"/>
    <x v="2"/>
    <x v="264"/>
    <x v="0"/>
    <x v="0"/>
    <x v="0"/>
    <x v="0"/>
    <x v="0"/>
  </r>
  <r>
    <x v="269"/>
    <x v="114"/>
    <x v="6"/>
    <x v="265"/>
    <x v="0"/>
    <x v="4"/>
    <x v="4"/>
    <x v="9"/>
    <x v="3"/>
  </r>
  <r>
    <x v="270"/>
    <x v="155"/>
    <x v="4"/>
    <x v="266"/>
    <x v="3"/>
    <x v="2"/>
    <x v="0"/>
    <x v="5"/>
    <x v="2"/>
  </r>
  <r>
    <x v="271"/>
    <x v="79"/>
    <x v="7"/>
    <x v="267"/>
    <x v="3"/>
    <x v="0"/>
    <x v="2"/>
    <x v="0"/>
    <x v="0"/>
  </r>
  <r>
    <x v="272"/>
    <x v="156"/>
    <x v="4"/>
    <x v="268"/>
    <x v="1"/>
    <x v="2"/>
    <x v="4"/>
    <x v="7"/>
    <x v="2"/>
  </r>
  <r>
    <x v="273"/>
    <x v="47"/>
    <x v="1"/>
    <x v="269"/>
    <x v="0"/>
    <x v="1"/>
    <x v="3"/>
    <x v="2"/>
    <x v="1"/>
  </r>
  <r>
    <x v="274"/>
    <x v="44"/>
    <x v="8"/>
    <x v="270"/>
    <x v="0"/>
    <x v="0"/>
    <x v="0"/>
    <x v="0"/>
    <x v="0"/>
  </r>
  <r>
    <x v="275"/>
    <x v="96"/>
    <x v="8"/>
    <x v="271"/>
    <x v="3"/>
    <x v="0"/>
    <x v="2"/>
    <x v="0"/>
    <x v="0"/>
  </r>
  <r>
    <x v="276"/>
    <x v="71"/>
    <x v="4"/>
    <x v="272"/>
    <x v="4"/>
    <x v="2"/>
    <x v="0"/>
    <x v="12"/>
    <x v="2"/>
  </r>
  <r>
    <x v="277"/>
    <x v="7"/>
    <x v="2"/>
    <x v="273"/>
    <x v="1"/>
    <x v="0"/>
    <x v="2"/>
    <x v="3"/>
    <x v="0"/>
  </r>
  <r>
    <x v="278"/>
    <x v="139"/>
    <x v="5"/>
    <x v="274"/>
    <x v="3"/>
    <x v="3"/>
    <x v="0"/>
    <x v="2"/>
    <x v="1"/>
  </r>
  <r>
    <x v="279"/>
    <x v="70"/>
    <x v="9"/>
    <x v="275"/>
    <x v="1"/>
    <x v="0"/>
    <x v="2"/>
    <x v="3"/>
    <x v="0"/>
  </r>
  <r>
    <x v="280"/>
    <x v="157"/>
    <x v="5"/>
    <x v="276"/>
    <x v="2"/>
    <x v="3"/>
    <x v="1"/>
    <x v="7"/>
    <x v="2"/>
  </r>
  <r>
    <x v="281"/>
    <x v="104"/>
    <x v="0"/>
    <x v="277"/>
    <x v="3"/>
    <x v="0"/>
    <x v="1"/>
    <x v="8"/>
    <x v="1"/>
  </r>
  <r>
    <x v="282"/>
    <x v="100"/>
    <x v="0"/>
    <x v="278"/>
    <x v="0"/>
    <x v="0"/>
    <x v="2"/>
    <x v="4"/>
    <x v="0"/>
  </r>
  <r>
    <x v="283"/>
    <x v="77"/>
    <x v="4"/>
    <x v="279"/>
    <x v="1"/>
    <x v="2"/>
    <x v="3"/>
    <x v="5"/>
    <x v="2"/>
  </r>
  <r>
    <x v="284"/>
    <x v="44"/>
    <x v="4"/>
    <x v="280"/>
    <x v="0"/>
    <x v="2"/>
    <x v="3"/>
    <x v="7"/>
    <x v="2"/>
  </r>
  <r>
    <x v="285"/>
    <x v="77"/>
    <x v="4"/>
    <x v="281"/>
    <x v="1"/>
    <x v="2"/>
    <x v="3"/>
    <x v="5"/>
    <x v="2"/>
  </r>
  <r>
    <x v="286"/>
    <x v="23"/>
    <x v="4"/>
    <x v="282"/>
    <x v="2"/>
    <x v="2"/>
    <x v="1"/>
    <x v="1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2:D290" firstHeaderRow="0" firstDataRow="1" firstDataCol="1"/>
  <pivotFields count="5">
    <pivotField dataField="1" compact="0" showAll="0"/>
    <pivotField axis="axisRow" compact="0" showAll="0">
      <items count="288">
        <item x="22"/>
        <item x="158"/>
        <item x="222"/>
        <item x="178"/>
        <item x="32"/>
        <item x="149"/>
        <item x="139"/>
        <item x="171"/>
        <item x="3"/>
        <item x="81"/>
        <item x="204"/>
        <item x="7"/>
        <item x="41"/>
        <item x="55"/>
        <item x="210"/>
        <item x="109"/>
        <item x="127"/>
        <item x="126"/>
        <item x="163"/>
        <item x="259"/>
        <item x="253"/>
        <item x="45"/>
        <item x="264"/>
        <item x="106"/>
        <item x="209"/>
        <item x="184"/>
        <item x="277"/>
        <item x="94"/>
        <item x="244"/>
        <item x="123"/>
        <item x="255"/>
        <item x="183"/>
        <item x="21"/>
        <item x="155"/>
        <item x="236"/>
        <item x="14"/>
        <item x="51"/>
        <item x="172"/>
        <item x="182"/>
        <item x="38"/>
        <item x="283"/>
        <item x="206"/>
        <item x="241"/>
        <item x="189"/>
        <item x="72"/>
        <item x="118"/>
        <item x="263"/>
        <item x="93"/>
        <item x="225"/>
        <item x="166"/>
        <item x="142"/>
        <item x="100"/>
        <item x="239"/>
        <item x="207"/>
        <item x="257"/>
        <item x="169"/>
        <item x="24"/>
        <item x="201"/>
        <item x="34"/>
        <item x="46"/>
        <item x="190"/>
        <item x="221"/>
        <item x="273"/>
        <item x="54"/>
        <item x="233"/>
        <item x="17"/>
        <item x="285"/>
        <item x="227"/>
        <item x="198"/>
        <item x="250"/>
        <item x="108"/>
        <item x="20"/>
        <item x="247"/>
        <item x="33"/>
        <item x="256"/>
        <item x="208"/>
        <item x="168"/>
        <item x="157"/>
        <item x="10"/>
        <item x="152"/>
        <item x="63"/>
        <item x="138"/>
        <item x="146"/>
        <item x="36"/>
        <item x="107"/>
        <item x="91"/>
        <item x="261"/>
        <item x="15"/>
        <item x="16"/>
        <item x="145"/>
        <item x="60"/>
        <item x="180"/>
        <item x="231"/>
        <item x="274"/>
        <item x="11"/>
        <item x="203"/>
        <item x="213"/>
        <item x="40"/>
        <item x="234"/>
        <item x="90"/>
        <item x="228"/>
        <item x="202"/>
        <item x="179"/>
        <item x="98"/>
        <item x="56"/>
        <item x="154"/>
        <item x="130"/>
        <item x="131"/>
        <item x="74"/>
        <item x="267"/>
        <item x="103"/>
        <item x="65"/>
        <item x="162"/>
        <item x="147"/>
        <item x="279"/>
        <item x="188"/>
        <item x="64"/>
        <item x="235"/>
        <item x="44"/>
        <item x="280"/>
        <item x="89"/>
        <item x="110"/>
        <item x="199"/>
        <item x="9"/>
        <item x="135"/>
        <item x="35"/>
        <item x="87"/>
        <item x="53"/>
        <item x="71"/>
        <item x="19"/>
        <item x="5"/>
        <item x="224"/>
        <item x="84"/>
        <item x="223"/>
        <item x="47"/>
        <item x="125"/>
        <item x="49"/>
        <item x="181"/>
        <item x="153"/>
        <item x="80"/>
        <item x="101"/>
        <item x="116"/>
        <item x="151"/>
        <item x="112"/>
        <item x="48"/>
        <item x="104"/>
        <item x="243"/>
        <item x="117"/>
        <item x="57"/>
        <item x="124"/>
        <item x="67"/>
        <item x="232"/>
        <item x="1"/>
        <item x="137"/>
        <item x="249"/>
        <item x="193"/>
        <item x="31"/>
        <item x="133"/>
        <item x="286"/>
        <item x="8"/>
        <item x="240"/>
        <item x="215"/>
        <item x="86"/>
        <item x="6"/>
        <item x="73"/>
        <item x="262"/>
        <item x="128"/>
        <item x="212"/>
        <item x="114"/>
        <item x="2"/>
        <item x="43"/>
        <item x="113"/>
        <item x="192"/>
        <item x="99"/>
        <item x="214"/>
        <item x="70"/>
        <item x="219"/>
        <item x="238"/>
        <item x="194"/>
        <item x="156"/>
        <item x="119"/>
        <item x="187"/>
        <item x="242"/>
        <item x="252"/>
        <item x="191"/>
        <item x="129"/>
        <item x="161"/>
        <item x="62"/>
        <item x="159"/>
        <item x="52"/>
        <item x="211"/>
        <item x="82"/>
        <item x="174"/>
        <item x="102"/>
        <item x="284"/>
        <item x="254"/>
        <item x="265"/>
        <item x="246"/>
        <item x="271"/>
        <item x="260"/>
        <item x="170"/>
        <item x="85"/>
        <item x="122"/>
        <item x="30"/>
        <item x="96"/>
        <item x="121"/>
        <item x="69"/>
        <item x="200"/>
        <item x="83"/>
        <item x="185"/>
        <item x="272"/>
        <item x="269"/>
        <item x="132"/>
        <item x="148"/>
        <item x="120"/>
        <item x="50"/>
        <item x="165"/>
        <item x="196"/>
        <item x="68"/>
        <item x="26"/>
        <item x="59"/>
        <item x="195"/>
        <item x="248"/>
        <item x="160"/>
        <item x="177"/>
        <item x="18"/>
        <item x="37"/>
        <item x="268"/>
        <item x="144"/>
        <item x="275"/>
        <item x="229"/>
        <item x="251"/>
        <item x="75"/>
        <item x="105"/>
        <item x="218"/>
        <item x="175"/>
        <item x="140"/>
        <item x="143"/>
        <item x="197"/>
        <item x="111"/>
        <item x="61"/>
        <item x="141"/>
        <item x="164"/>
        <item x="97"/>
        <item x="245"/>
        <item x="0"/>
        <item x="226"/>
        <item x="4"/>
        <item x="230"/>
        <item x="150"/>
        <item x="134"/>
        <item x="13"/>
        <item x="136"/>
        <item x="25"/>
        <item x="186"/>
        <item x="216"/>
        <item x="27"/>
        <item x="258"/>
        <item x="220"/>
        <item x="12"/>
        <item x="217"/>
        <item x="205"/>
        <item x="278"/>
        <item x="266"/>
        <item x="176"/>
        <item x="282"/>
        <item x="167"/>
        <item x="173"/>
        <item x="77"/>
        <item x="79"/>
        <item x="237"/>
        <item x="115"/>
        <item x="28"/>
        <item x="92"/>
        <item x="42"/>
        <item x="58"/>
        <item x="281"/>
        <item x="29"/>
        <item x="76"/>
        <item x="88"/>
        <item x="66"/>
        <item x="39"/>
        <item x="23"/>
        <item x="95"/>
        <item x="276"/>
        <item x="78"/>
        <item x="270"/>
        <item t="default"/>
      </items>
    </pivotField>
    <pivotField dataField="1" compact="0" numFmtId="167" showAll="0"/>
    <pivotField compact="0" showAll="0"/>
    <pivotField dataField="1" compact="0" showAll="0"/>
  </pivotFields>
  <rowFields count="1">
    <field x="1"/>
  </rowFields>
  <rowItems count="2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OrderDate" fld="2" subtotal="max" baseField="0" baseItem="0" numFmtId="14"/>
    <dataField name="Count of OrderID" fld="0" subtotal="count" baseField="0" baseItem="0"/>
    <dataField name="Sum of OrderValue" fld="4" baseField="0" baseItem="0"/>
  </dataFields>
  <formats count="13">
    <format dxfId="357">
      <pivotArea type="all" dataOnly="0" outline="0" fieldPosition="0"/>
    </format>
    <format dxfId="35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55">
      <pivotArea type="all" dataOnly="0" outline="0" fieldPosition="0"/>
    </format>
    <format dxfId="354">
      <pivotArea outline="0" collapsedLevelsAreSubtotals="1" fieldPosition="0"/>
    </format>
    <format dxfId="353">
      <pivotArea field="1" type="button" dataOnly="0" labelOnly="1" outline="0" axis="axisRow" fieldPosition="0"/>
    </format>
    <format dxfId="352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51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50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49">
      <pivotArea dataOnly="0" labelOnly="1" outline="0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48">
      <pivotArea dataOnly="0" labelOnly="1" outline="0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47">
      <pivotArea dataOnly="0" labelOnly="1" outline="0" fieldPosition="0">
        <references count="1">
          <reference field="1" count="37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</reference>
        </references>
      </pivotArea>
    </format>
    <format dxfId="346">
      <pivotArea dataOnly="0" labelOnly="1" grandRow="1" outline="0" fieldPosition="0"/>
    </format>
    <format dxfId="3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4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compactData="0" multipleFieldFilters="0">
  <location ref="A25:C312" firstHeaderRow="1" firstDataRow="1" firstDataCol="2"/>
  <pivotFields count="9">
    <pivotField axis="axisRow" compact="0" outline="0" showAll="0" sortType="descending" defaultSubtotal="0">
      <items count="2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6" outline="0" showAll="0" defaultSubtotal="0"/>
    <pivotField compact="0" outline="0" showAll="0" defaultSubtotal="0"/>
    <pivotField dataField="1" compact="0" outline="0" showAll="0" defaultSubtotal="0">
      <items count="283">
        <item x="239"/>
        <item x="186"/>
        <item x="255"/>
        <item x="108"/>
        <item x="26"/>
        <item x="194"/>
        <item x="265"/>
        <item x="30"/>
        <item x="101"/>
        <item x="192"/>
        <item x="28"/>
        <item x="173"/>
        <item x="219"/>
        <item x="156"/>
        <item x="41"/>
        <item x="51"/>
        <item x="262"/>
        <item x="104"/>
        <item x="86"/>
        <item x="238"/>
        <item x="233"/>
        <item x="169"/>
        <item x="40"/>
        <item x="241"/>
        <item x="226"/>
        <item x="65"/>
        <item x="48"/>
        <item x="49"/>
        <item x="152"/>
        <item x="268"/>
        <item x="129"/>
        <item x="31"/>
        <item x="134"/>
        <item x="180"/>
        <item x="22"/>
        <item x="178"/>
        <item x="175"/>
        <item x="92"/>
        <item x="97"/>
        <item x="183"/>
        <item x="118"/>
        <item x="68"/>
        <item x="193"/>
        <item x="237"/>
        <item x="200"/>
        <item x="141"/>
        <item x="81"/>
        <item x="221"/>
        <item x="95"/>
        <item x="196"/>
        <item x="42"/>
        <item x="185"/>
        <item x="119"/>
        <item x="60"/>
        <item x="52"/>
        <item x="213"/>
        <item x="190"/>
        <item x="29"/>
        <item x="130"/>
        <item x="116"/>
        <item x="258"/>
        <item x="261"/>
        <item x="280"/>
        <item x="99"/>
        <item x="202"/>
        <item x="153"/>
        <item x="79"/>
        <item x="210"/>
        <item x="11"/>
        <item x="209"/>
        <item x="87"/>
        <item x="44"/>
        <item x="174"/>
        <item x="45"/>
        <item x="89"/>
        <item x="145"/>
        <item x="230"/>
        <item x="179"/>
        <item x="171"/>
        <item x="243"/>
        <item x="181"/>
        <item x="205"/>
        <item x="176"/>
        <item x="170"/>
        <item x="128"/>
        <item x="260"/>
        <item x="224"/>
        <item x="131"/>
        <item x="8"/>
        <item x="281"/>
        <item x="105"/>
        <item x="216"/>
        <item x="160"/>
        <item x="249"/>
        <item x="232"/>
        <item x="73"/>
        <item x="14"/>
        <item x="269"/>
        <item x="63"/>
        <item x="34"/>
        <item x="201"/>
        <item x="132"/>
        <item x="198"/>
        <item x="279"/>
        <item x="66"/>
        <item x="117"/>
        <item x="188"/>
        <item x="78"/>
        <item x="35"/>
        <item x="113"/>
        <item x="189"/>
        <item x="114"/>
        <item x="110"/>
        <item x="121"/>
        <item x="56"/>
        <item x="263"/>
        <item x="235"/>
        <item x="207"/>
        <item x="199"/>
        <item x="282"/>
        <item x="259"/>
        <item x="234"/>
        <item x="59"/>
        <item x="83"/>
        <item x="62"/>
        <item x="17"/>
        <item x="248"/>
        <item x="20"/>
        <item x="57"/>
        <item x="227"/>
        <item x="127"/>
        <item x="102"/>
        <item x="154"/>
        <item x="18"/>
        <item x="75"/>
        <item x="184"/>
        <item x="162"/>
        <item x="47"/>
        <item x="107"/>
        <item x="158"/>
        <item x="120"/>
        <item x="126"/>
        <item x="1"/>
        <item x="222"/>
        <item x="163"/>
        <item x="218"/>
        <item x="256"/>
        <item x="168"/>
        <item x="61"/>
        <item x="64"/>
        <item x="19"/>
        <item x="277"/>
        <item x="80"/>
        <item x="246"/>
        <item x="106"/>
        <item x="125"/>
        <item x="157"/>
        <item x="182"/>
        <item x="13"/>
        <item x="91"/>
        <item x="32"/>
        <item x="150"/>
        <item x="242"/>
        <item x="276"/>
        <item x="206"/>
        <item x="115"/>
        <item x="82"/>
        <item x="177"/>
        <item x="69"/>
        <item x="244"/>
        <item x="220"/>
        <item x="211"/>
        <item x="197"/>
        <item x="161"/>
        <item x="139"/>
        <item x="187"/>
        <item x="21"/>
        <item x="159"/>
        <item x="195"/>
        <item x="4"/>
        <item x="38"/>
        <item x="85"/>
        <item x="0"/>
        <item x="136"/>
        <item x="124"/>
        <item x="43"/>
        <item x="16"/>
        <item x="274"/>
        <item x="272"/>
        <item x="72"/>
        <item x="264"/>
        <item x="231"/>
        <item x="25"/>
        <item x="217"/>
        <item x="93"/>
        <item x="122"/>
        <item x="252"/>
        <item x="266"/>
        <item x="257"/>
        <item x="100"/>
        <item x="33"/>
        <item x="146"/>
        <item x="208"/>
        <item x="70"/>
        <item x="2"/>
        <item x="172"/>
        <item x="148"/>
        <item x="251"/>
        <item x="74"/>
        <item x="50"/>
        <item x="253"/>
        <item x="53"/>
        <item x="240"/>
        <item x="191"/>
        <item x="149"/>
        <item x="225"/>
        <item x="135"/>
        <item x="164"/>
        <item x="46"/>
        <item x="144"/>
        <item x="270"/>
        <item x="112"/>
        <item x="76"/>
        <item x="55"/>
        <item x="15"/>
        <item x="140"/>
        <item x="138"/>
        <item x="71"/>
        <item x="98"/>
        <item x="142"/>
        <item x="143"/>
        <item x="223"/>
        <item x="88"/>
        <item x="24"/>
        <item x="58"/>
        <item x="228"/>
        <item x="278"/>
        <item x="137"/>
        <item x="54"/>
        <item x="229"/>
        <item x="37"/>
        <item x="151"/>
        <item x="5"/>
        <item x="111"/>
        <item x="6"/>
        <item x="39"/>
        <item x="165"/>
        <item x="214"/>
        <item x="103"/>
        <item x="94"/>
        <item x="23"/>
        <item x="84"/>
        <item x="167"/>
        <item x="212"/>
        <item x="254"/>
        <item x="271"/>
        <item x="245"/>
        <item x="90"/>
        <item x="166"/>
        <item x="3"/>
        <item x="203"/>
        <item x="77"/>
        <item x="236"/>
        <item x="273"/>
        <item x="247"/>
        <item x="215"/>
        <item x="9"/>
        <item x="27"/>
        <item x="123"/>
        <item x="12"/>
        <item x="147"/>
        <item x="155"/>
        <item x="7"/>
        <item x="250"/>
        <item x="67"/>
        <item x="267"/>
        <item x="109"/>
        <item x="204"/>
        <item x="96"/>
        <item x="36"/>
        <item x="133"/>
        <item x="10"/>
        <item x="27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4"/>
        <item x="0"/>
        <item x="1"/>
        <item x="3"/>
        <item x="2"/>
      </items>
    </pivotField>
  </pivotFields>
  <rowFields count="2">
    <field x="0"/>
    <field x="8"/>
  </rowFields>
  <rowItems count="287">
    <i>
      <x v="279"/>
      <x v="1"/>
    </i>
    <i>
      <x v="10"/>
      <x v="1"/>
    </i>
    <i>
      <x v="134"/>
      <x v="1"/>
    </i>
    <i>
      <x v="36"/>
      <x v="1"/>
    </i>
    <i>
      <x v="97"/>
      <x v="1"/>
    </i>
    <i>
      <x v="206"/>
      <x v="1"/>
    </i>
    <i>
      <x v="110"/>
      <x v="1"/>
    </i>
    <i>
      <x v="271"/>
      <x v="1"/>
    </i>
    <i>
      <x v="68"/>
      <x v="2"/>
    </i>
    <i>
      <x v="253"/>
      <x v="2"/>
    </i>
    <i>
      <x v="7"/>
      <x v="1"/>
    </i>
    <i>
      <x v="157"/>
      <x v="1"/>
    </i>
    <i>
      <x v="148"/>
      <x v="1"/>
    </i>
    <i>
      <x v="12"/>
      <x v="1"/>
    </i>
    <i>
      <x v="124"/>
      <x v="1"/>
    </i>
    <i>
      <x v="27"/>
      <x v="1"/>
    </i>
    <i>
      <x v="9"/>
      <x v="1"/>
    </i>
    <i>
      <x v="217"/>
      <x v="1"/>
    </i>
    <i>
      <x v="250"/>
      <x v="1"/>
    </i>
    <i>
      <x v="277"/>
      <x v="1"/>
    </i>
    <i>
      <x v="239"/>
      <x v="1"/>
    </i>
    <i>
      <x v="78"/>
      <x v="1"/>
    </i>
    <i>
      <x v="205"/>
      <x v="2"/>
    </i>
    <i>
      <x v="3"/>
      <x v="1"/>
    </i>
    <i>
      <x v="168"/>
      <x v="1"/>
    </i>
    <i>
      <x v="91"/>
      <x v="1"/>
    </i>
    <i>
      <x v="248"/>
      <x v="1"/>
    </i>
    <i>
      <x v="275"/>
      <x v="1"/>
    </i>
    <i>
      <x v="257"/>
      <x v="1"/>
    </i>
    <i>
      <x v="214"/>
      <x v="1"/>
    </i>
    <i>
      <x v="169"/>
      <x v="1"/>
    </i>
    <i>
      <x v="85"/>
      <x v="2"/>
    </i>
    <i>
      <x v="23"/>
      <x v="1"/>
    </i>
    <i>
      <x v="95"/>
      <x v="1"/>
    </i>
    <i>
      <x v="104"/>
      <x v="1"/>
    </i>
    <i>
      <x v="216"/>
      <x v="1"/>
    </i>
    <i>
      <x v="167"/>
      <x v="1"/>
    </i>
    <i>
      <x v="39"/>
      <x v="2"/>
    </i>
    <i>
      <x v="6"/>
      <x v="1"/>
    </i>
    <i>
      <x v="112"/>
      <x v="1"/>
    </i>
    <i>
      <x v="5"/>
      <x v="2"/>
    </i>
    <i>
      <x v="152"/>
      <x v="1"/>
    </i>
    <i>
      <x v="37"/>
      <x v="1"/>
    </i>
    <i>
      <x v="232"/>
      <x v="2"/>
    </i>
    <i>
      <x v="55"/>
      <x v="1"/>
    </i>
    <i>
      <x v="138"/>
      <x v="1"/>
    </i>
    <i>
      <x v="282"/>
      <x v="1"/>
    </i>
    <i>
      <x v="231"/>
      <x v="1"/>
    </i>
    <i>
      <x v="59"/>
      <x v="2"/>
    </i>
    <i>
      <x v="24"/>
      <x v="2"/>
    </i>
    <i>
      <x v="89"/>
      <x v="2"/>
    </i>
    <i>
      <x v="226"/>
      <x v="1"/>
    </i>
    <i>
      <x v="144"/>
      <x v="1"/>
    </i>
    <i>
      <x v="143"/>
      <x v="1"/>
    </i>
    <i>
      <x v="99"/>
      <x v="2"/>
    </i>
    <i>
      <x v="72"/>
      <x v="2"/>
    </i>
    <i>
      <x v="139"/>
      <x v="1"/>
    </i>
    <i>
      <x v="141"/>
      <x v="4"/>
    </i>
    <i>
      <x v="44"/>
      <x v="2"/>
    </i>
    <i>
      <x v="15"/>
      <x v="2"/>
    </i>
    <i>
      <x v="56"/>
      <x v="2"/>
    </i>
    <i>
      <x v="77"/>
      <x v="1"/>
    </i>
    <i>
      <x v="113"/>
      <x v="1"/>
    </i>
    <i>
      <x v="274"/>
      <x v="1"/>
    </i>
    <i>
      <x v="145"/>
      <x v="2"/>
    </i>
    <i>
      <x v="47"/>
      <x v="2"/>
    </i>
    <i>
      <x v="166"/>
      <x v="1"/>
    </i>
    <i>
      <x v="136"/>
      <x v="2"/>
    </i>
    <i>
      <x v="228"/>
      <x v="2"/>
    </i>
    <i>
      <x v="156"/>
      <x v="2"/>
    </i>
    <i>
      <x v="150"/>
      <x v="1"/>
    </i>
    <i>
      <x v="193"/>
      <x v="1"/>
    </i>
    <i>
      <x v="243"/>
      <x v="1"/>
    </i>
    <i>
      <x v="54"/>
      <x v="4"/>
    </i>
    <i>
      <x v="256"/>
      <x v="2"/>
    </i>
    <i>
      <x v="51"/>
      <x v="2"/>
    </i>
    <i>
      <x v="75"/>
      <x v="2"/>
    </i>
    <i>
      <x v="254"/>
      <x v="4"/>
    </i>
    <i>
      <x v="149"/>
      <x v="1"/>
    </i>
    <i>
      <x v="174"/>
      <x v="4"/>
    </i>
    <i>
      <x v="2"/>
      <x v="2"/>
    </i>
    <i>
      <x v="71"/>
      <x v="2"/>
    </i>
    <i>
      <x v="210"/>
      <x v="2"/>
    </i>
    <i>
      <x v="147"/>
      <x v="4"/>
    </i>
    <i>
      <x v="33"/>
      <x v="2"/>
    </i>
    <i>
      <x v="101"/>
      <x v="2"/>
    </i>
    <i>
      <x v="260"/>
      <x v="2"/>
    </i>
    <i>
      <x v="270"/>
      <x v="4"/>
    </i>
    <i>
      <x v="255"/>
      <x v="4"/>
    </i>
    <i>
      <x v="123"/>
      <x v="2"/>
    </i>
    <i>
      <x v="94"/>
      <x v="4"/>
    </i>
    <i>
      <x v="219"/>
      <x v="2"/>
    </i>
    <i>
      <x v="25"/>
      <x v="2"/>
    </i>
    <i>
      <x v="234"/>
      <x v="2"/>
    </i>
    <i>
      <x v="268"/>
      <x v="1"/>
    </i>
    <i>
      <x v="225"/>
      <x v="1"/>
    </i>
    <i>
      <x v="73"/>
      <x v="2"/>
    </i>
    <i>
      <x v="276"/>
      <x v="4"/>
    </i>
    <i>
      <x v="278"/>
      <x v="2"/>
    </i>
    <i>
      <x v="16"/>
      <x v="4"/>
    </i>
    <i>
      <x v="43"/>
      <x v="4"/>
    </i>
    <i>
      <x v="125"/>
      <x v="2"/>
    </i>
    <i>
      <x v="137"/>
      <x v="2"/>
    </i>
    <i>
      <x/>
      <x v="1"/>
    </i>
    <i>
      <x v="86"/>
      <x v="1"/>
    </i>
    <i>
      <x v="38"/>
      <x v="4"/>
    </i>
    <i>
      <x v="4"/>
      <x v="1"/>
    </i>
    <i>
      <x v="197"/>
      <x v="4"/>
    </i>
    <i>
      <x v="161"/>
      <x v="2"/>
    </i>
    <i>
      <x v="21"/>
      <x v="2"/>
    </i>
    <i>
      <x v="189"/>
      <x v="1"/>
    </i>
    <i>
      <x v="140"/>
      <x v="2"/>
    </i>
    <i>
      <x v="163"/>
      <x v="2"/>
    </i>
    <i>
      <x v="199"/>
      <x v="4"/>
    </i>
    <i>
      <x v="213"/>
      <x v="1"/>
    </i>
    <i>
      <x v="222"/>
      <x v="4"/>
    </i>
    <i>
      <x v="247"/>
      <x v="2"/>
    </i>
    <i>
      <x v="70"/>
      <x v="4"/>
    </i>
    <i>
      <x v="179"/>
      <x v="2"/>
    </i>
    <i>
      <x v="83"/>
      <x v="2"/>
    </i>
    <i>
      <x v="116"/>
      <x v="4"/>
    </i>
    <i>
      <x v="208"/>
      <x v="2"/>
    </i>
    <i>
      <x v="280"/>
      <x v="4"/>
    </i>
    <i>
      <x v="245"/>
      <x v="3"/>
    </i>
    <i>
      <x v="151"/>
      <x v="2"/>
    </i>
    <i>
      <x v="32"/>
      <x v="4"/>
    </i>
    <i>
      <x v="92"/>
      <x v="2"/>
    </i>
    <i>
      <x v="13"/>
      <x v="2"/>
    </i>
    <i>
      <x v="184"/>
      <x v="4"/>
    </i>
    <i>
      <x v="159"/>
      <x v="2"/>
    </i>
    <i>
      <x v="126"/>
      <x v="2"/>
    </i>
    <i>
      <x v="107"/>
      <x v="4"/>
    </i>
    <i>
      <x v="249"/>
      <x v="4"/>
    </i>
    <i>
      <x v="81"/>
      <x v="4"/>
    </i>
    <i>
      <x v="281"/>
      <x v="2"/>
    </i>
    <i>
      <x v="19"/>
      <x v="4"/>
    </i>
    <i>
      <x v="65"/>
      <x v="2"/>
    </i>
    <i>
      <x v="62"/>
      <x v="2"/>
    </i>
    <i>
      <x v="170"/>
      <x v="2"/>
    </i>
    <i>
      <x v="259"/>
      <x v="4"/>
    </i>
    <i>
      <x v="220"/>
      <x v="4"/>
    </i>
    <i>
      <x v="165"/>
      <x v="4"/>
    </i>
    <i>
      <x v="224"/>
      <x v="4"/>
    </i>
    <i>
      <x v="1"/>
      <x v="2"/>
    </i>
    <i>
      <x v="127"/>
      <x v="2"/>
    </i>
    <i>
      <x v="121"/>
      <x v="2"/>
    </i>
    <i>
      <x v="160"/>
      <x v="3"/>
    </i>
    <i>
      <x v="108"/>
      <x v="4"/>
    </i>
    <i>
      <x v="48"/>
      <x v="4"/>
    </i>
    <i>
      <x v="164"/>
      <x v="2"/>
    </i>
    <i>
      <x v="186"/>
      <x v="2"/>
    </i>
    <i>
      <x v="76"/>
      <x v="4"/>
    </i>
    <i>
      <x v="18"/>
      <x v="2"/>
    </i>
    <i>
      <x v="155"/>
      <x v="2"/>
    </i>
    <i>
      <x v="103"/>
      <x v="4"/>
    </i>
    <i>
      <x v="128"/>
      <x v="2"/>
    </i>
    <i>
      <x v="230"/>
      <x v="2"/>
    </i>
    <i>
      <x v="58"/>
      <x v="4"/>
    </i>
    <i>
      <x v="20"/>
      <x v="2"/>
    </i>
    <i>
      <x v="251"/>
      <x v="2"/>
    </i>
    <i>
      <x v="17"/>
      <x v="4"/>
    </i>
    <i>
      <x v="63"/>
      <x v="3"/>
    </i>
    <i>
      <x v="84"/>
      <x v="1"/>
    </i>
    <i>
      <x v="60"/>
      <x v="2"/>
    </i>
    <i>
      <x v="237"/>
      <x v="4"/>
    </i>
    <i>
      <x v="262"/>
      <x v="3"/>
    </i>
    <i>
      <x v="286"/>
      <x v="4"/>
    </i>
    <i>
      <x v="201"/>
      <x v="4"/>
    </i>
    <i>
      <x v="209"/>
      <x v="2"/>
    </i>
    <i>
      <x v="238"/>
      <x v="4"/>
    </i>
    <i>
      <x v="267"/>
      <x v="4"/>
    </i>
    <i>
      <x v="57"/>
      <x v="4"/>
    </i>
    <i>
      <x v="122"/>
      <x v="4"/>
    </i>
    <i>
      <x v="111"/>
      <x v="4"/>
    </i>
    <i>
      <x v="115"/>
      <x v="4"/>
    </i>
    <i>
      <x v="191"/>
      <x v="4"/>
    </i>
    <i>
      <x v="114"/>
      <x v="3"/>
    </i>
    <i>
      <x v="35"/>
      <x v="4"/>
    </i>
    <i>
      <x v="79"/>
      <x v="3"/>
    </i>
    <i>
      <x v="190"/>
      <x v="2"/>
    </i>
    <i>
      <x v="118"/>
      <x v="3"/>
    </i>
    <i>
      <x v="67"/>
      <x v="4"/>
    </i>
    <i>
      <x v="283"/>
      <x v="4"/>
    </i>
    <i>
      <x v="200"/>
      <x v="4"/>
    </i>
    <i>
      <x v="133"/>
      <x v="4"/>
    </i>
    <i>
      <x v="203"/>
      <x v="2"/>
    </i>
    <i>
      <x v="34"/>
      <x v="4"/>
    </i>
    <i>
      <x v="64"/>
      <x v="3"/>
    </i>
    <i>
      <x v="273"/>
      <x v="2"/>
    </i>
    <i>
      <x v="14"/>
      <x v="3"/>
    </i>
    <i>
      <x v="74"/>
      <x v="4"/>
    </i>
    <i>
      <x v="235"/>
      <x v="4"/>
    </i>
    <i>
      <x v="252"/>
      <x v="4"/>
    </i>
    <i>
      <x v="162"/>
      <x v="4"/>
    </i>
    <i>
      <x v="218"/>
      <x v="4"/>
    </i>
    <i>
      <x v="106"/>
      <x v="4"/>
    </i>
    <i>
      <x v="285"/>
      <x v="4"/>
    </i>
    <i>
      <x v="8"/>
      <x v="2"/>
    </i>
    <i>
      <x v="132"/>
      <x v="2"/>
    </i>
    <i>
      <x v="227"/>
      <x v="3"/>
    </i>
    <i>
      <x v="263"/>
      <x v="4"/>
    </i>
    <i>
      <x v="129"/>
      <x v="2"/>
    </i>
    <i>
      <x v="172"/>
      <x v="4"/>
    </i>
    <i>
      <x v="178"/>
      <x v="3"/>
    </i>
    <i>
      <x v="207"/>
      <x v="4"/>
    </i>
    <i>
      <x v="183"/>
      <x v="4"/>
    </i>
    <i>
      <x v="246"/>
      <x v="3"/>
    </i>
    <i>
      <x v="173"/>
      <x v="4"/>
    </i>
    <i>
      <x v="181"/>
      <x v="3"/>
    </i>
    <i>
      <x v="233"/>
      <x v="3"/>
    </i>
    <i>
      <x v="146"/>
      <x v="3"/>
    </i>
    <i>
      <x v="90"/>
      <x v="3"/>
    </i>
    <i>
      <x v="46"/>
      <x v="4"/>
    </i>
    <i>
      <x v="176"/>
      <x v="4"/>
    </i>
    <i>
      <x v="45"/>
      <x v="4"/>
    </i>
    <i>
      <x v="88"/>
      <x v="4"/>
    </i>
    <i>
      <x v="211"/>
      <x v="3"/>
    </i>
    <i>
      <x v="11"/>
      <x v="4"/>
    </i>
    <i>
      <x v="212"/>
      <x v="2"/>
    </i>
    <i>
      <x v="80"/>
      <x v="2"/>
    </i>
    <i>
      <x v="154"/>
      <x v="3"/>
    </i>
    <i>
      <x v="204"/>
      <x v="4"/>
    </i>
    <i>
      <x v="100"/>
      <x v="4"/>
    </i>
    <i>
      <x v="284"/>
      <x v="4"/>
    </i>
    <i>
      <x v="264"/>
      <x v="4"/>
    </i>
    <i>
      <x v="261"/>
      <x v="3"/>
    </i>
    <i>
      <x v="117"/>
      <x v="3"/>
    </i>
    <i>
      <x v="131"/>
      <x v="3"/>
    </i>
    <i>
      <x v="29"/>
      <x v="3"/>
    </i>
    <i>
      <x v="192"/>
      <x v="4"/>
    </i>
    <i>
      <x v="215"/>
      <x v="4"/>
    </i>
    <i>
      <x v="53"/>
      <x v="3"/>
    </i>
    <i>
      <x v="61"/>
      <x v="4"/>
    </i>
    <i>
      <x v="120"/>
      <x v="3"/>
    </i>
    <i>
      <x v="187"/>
      <x v="3"/>
    </i>
    <i>
      <x v="42"/>
      <x v="3"/>
    </i>
    <i>
      <x v="198"/>
      <x v="4"/>
    </i>
    <i>
      <x v="96"/>
      <x v="3"/>
    </i>
    <i>
      <x v="223"/>
      <x v="3"/>
    </i>
    <i>
      <x v="82"/>
      <x v="3"/>
    </i>
    <i>
      <x v="142"/>
      <x v="3"/>
    </i>
    <i>
      <x v="202"/>
      <x v="4"/>
    </i>
    <i>
      <x v="240"/>
      <x v="3"/>
    </i>
    <i>
      <x v="195"/>
      <x v="4"/>
    </i>
    <i>
      <x v="69"/>
      <x v="3"/>
    </i>
    <i>
      <x v="119"/>
      <x v="3"/>
    </i>
    <i>
      <x v="185"/>
      <x v="3"/>
    </i>
    <i>
      <x v="98"/>
      <x v="3"/>
    </i>
    <i>
      <x v="93"/>
      <x v="3"/>
    </i>
    <i>
      <x v="177"/>
      <x v="3"/>
    </i>
    <i>
      <x v="180"/>
      <x/>
    </i>
    <i>
      <x v="22"/>
      <x v="3"/>
    </i>
    <i>
      <x v="182"/>
      <x v="3"/>
    </i>
    <i>
      <x v="135"/>
      <x v="3"/>
    </i>
    <i>
      <x v="31"/>
      <x v="3"/>
    </i>
    <i>
      <x v="130"/>
      <x/>
    </i>
    <i>
      <x v="272"/>
      <x v="4"/>
    </i>
    <i>
      <x v="153"/>
      <x v="3"/>
    </i>
    <i>
      <x v="50"/>
      <x v="3"/>
    </i>
    <i>
      <x v="49"/>
      <x v="4"/>
    </i>
    <i>
      <x v="66"/>
      <x v="4"/>
    </i>
    <i>
      <x v="229"/>
      <x v="4"/>
    </i>
    <i>
      <x v="244"/>
      <x/>
    </i>
    <i>
      <x v="40"/>
      <x/>
    </i>
    <i>
      <x v="171"/>
      <x/>
    </i>
    <i>
      <x v="236"/>
      <x v="3"/>
    </i>
    <i>
      <x v="241"/>
      <x/>
    </i>
    <i>
      <x v="87"/>
      <x/>
    </i>
    <i>
      <x v="105"/>
      <x v="3"/>
    </i>
    <i>
      <x v="266"/>
      <x v="3"/>
    </i>
    <i>
      <x v="52"/>
      <x v="3"/>
    </i>
    <i>
      <x v="41"/>
      <x v="3"/>
    </i>
    <i>
      <x v="158"/>
      <x/>
    </i>
    <i>
      <x v="221"/>
      <x v="3"/>
    </i>
    <i>
      <x v="175"/>
      <x v="3"/>
    </i>
    <i>
      <x v="28"/>
      <x/>
    </i>
    <i>
      <x v="194"/>
      <x/>
    </i>
    <i>
      <x v="102"/>
      <x/>
    </i>
    <i>
      <x v="30"/>
      <x v="3"/>
    </i>
    <i>
      <x v="269"/>
      <x v="3"/>
    </i>
    <i>
      <x v="265"/>
      <x/>
    </i>
    <i>
      <x v="196"/>
      <x v="3"/>
    </i>
    <i>
      <x v="26"/>
      <x v="3"/>
    </i>
    <i>
      <x v="109"/>
      <x v="3"/>
    </i>
    <i>
      <x v="258"/>
      <x/>
    </i>
    <i>
      <x v="188"/>
      <x v="3"/>
    </i>
    <i>
      <x v="242"/>
      <x v="3"/>
    </i>
  </rowItems>
  <colItems count="1">
    <i/>
  </colItems>
  <dataFields count="1">
    <dataField name="Sum of Monetary" fld="3" baseField="0" baseItem="0"/>
  </dataFields>
  <formats count="301">
    <format dxfId="300">
      <pivotArea type="all" dataOnly="0" outline="0" fieldPosition="0"/>
    </format>
    <format dxfId="299">
      <pivotArea collapsedLevelsAreSubtotals="1" fieldPosition="0"/>
    </format>
    <format dxfId="298">
      <pivotArea grandRow="1" collapsedLevelsAreSubtotals="1" fieldPosition="0"/>
    </format>
    <format dxfId="297">
      <pivotArea type="all" dataOnly="0" outline="0" fieldPosition="0"/>
    </format>
    <format dxfId="296">
      <pivotArea outline="0" collapsedLevelsAreSubtotals="1" fieldPosition="0"/>
    </format>
    <format dxfId="295">
      <pivotArea field="0" type="button" dataOnly="0" labelOnly="1" outline="0" axis="axisRow" fieldPosition="0"/>
    </format>
    <format dxfId="294">
      <pivotArea field="8" type="button" dataOnly="0" labelOnly="1" outline="0" axis="axisRow" fieldPosition="1"/>
    </format>
    <format dxfId="293">
      <pivotArea dataOnly="0" labelOnly="1" outline="0" fieldPosition="0">
        <references count="1">
          <reference field="0" count="50">
            <x v="3"/>
            <x v="5"/>
            <x v="6"/>
            <x v="7"/>
            <x v="9"/>
            <x v="10"/>
            <x v="12"/>
            <x v="23"/>
            <x v="24"/>
            <x v="27"/>
            <x v="36"/>
            <x v="37"/>
            <x v="39"/>
            <x v="55"/>
            <x v="59"/>
            <x v="68"/>
            <x v="78"/>
            <x v="85"/>
            <x v="91"/>
            <x v="95"/>
            <x v="97"/>
            <x v="104"/>
            <x v="110"/>
            <x v="112"/>
            <x v="124"/>
            <x v="134"/>
            <x v="138"/>
            <x v="148"/>
            <x v="152"/>
            <x v="157"/>
            <x v="167"/>
            <x v="168"/>
            <x v="169"/>
            <x v="205"/>
            <x v="206"/>
            <x v="214"/>
            <x v="216"/>
            <x v="217"/>
            <x v="231"/>
            <x v="232"/>
            <x v="239"/>
            <x v="248"/>
            <x v="250"/>
            <x v="253"/>
            <x v="257"/>
            <x v="271"/>
            <x v="275"/>
            <x v="277"/>
            <x v="279"/>
            <x v="282"/>
          </reference>
        </references>
      </pivotArea>
    </format>
    <format dxfId="292">
      <pivotArea dataOnly="0" labelOnly="1" outline="0" fieldPosition="0">
        <references count="1">
          <reference field="0" count="50">
            <x v="2"/>
            <x v="15"/>
            <x v="16"/>
            <x v="25"/>
            <x v="33"/>
            <x v="44"/>
            <x v="47"/>
            <x v="51"/>
            <x v="54"/>
            <x v="56"/>
            <x v="71"/>
            <x v="72"/>
            <x v="73"/>
            <x v="75"/>
            <x v="77"/>
            <x v="89"/>
            <x v="94"/>
            <x v="99"/>
            <x v="101"/>
            <x v="113"/>
            <x v="123"/>
            <x v="136"/>
            <x v="139"/>
            <x v="141"/>
            <x v="143"/>
            <x v="144"/>
            <x v="145"/>
            <x v="147"/>
            <x v="149"/>
            <x v="150"/>
            <x v="156"/>
            <x v="166"/>
            <x v="174"/>
            <x v="193"/>
            <x v="210"/>
            <x v="219"/>
            <x v="225"/>
            <x v="226"/>
            <x v="228"/>
            <x v="234"/>
            <x v="243"/>
            <x v="254"/>
            <x v="255"/>
            <x v="256"/>
            <x v="260"/>
            <x v="268"/>
            <x v="270"/>
            <x v="274"/>
            <x v="276"/>
            <x v="278"/>
          </reference>
        </references>
      </pivotArea>
    </format>
    <format dxfId="291">
      <pivotArea dataOnly="0" labelOnly="1" outline="0" fieldPosition="0">
        <references count="1">
          <reference field="0" count="50">
            <x v="0"/>
            <x v="1"/>
            <x v="4"/>
            <x v="13"/>
            <x v="19"/>
            <x v="21"/>
            <x v="32"/>
            <x v="38"/>
            <x v="43"/>
            <x v="48"/>
            <x v="62"/>
            <x v="65"/>
            <x v="70"/>
            <x v="81"/>
            <x v="83"/>
            <x v="86"/>
            <x v="92"/>
            <x v="107"/>
            <x v="108"/>
            <x v="116"/>
            <x v="121"/>
            <x v="125"/>
            <x v="126"/>
            <x v="127"/>
            <x v="137"/>
            <x v="140"/>
            <x v="151"/>
            <x v="159"/>
            <x v="160"/>
            <x v="161"/>
            <x v="163"/>
            <x v="164"/>
            <x v="165"/>
            <x v="170"/>
            <x v="179"/>
            <x v="184"/>
            <x v="189"/>
            <x v="197"/>
            <x v="199"/>
            <x v="208"/>
            <x v="213"/>
            <x v="220"/>
            <x v="222"/>
            <x v="224"/>
            <x v="245"/>
            <x v="247"/>
            <x v="249"/>
            <x v="259"/>
            <x v="280"/>
            <x v="281"/>
          </reference>
        </references>
      </pivotArea>
    </format>
    <format dxfId="290">
      <pivotArea dataOnly="0" labelOnly="1" outline="0" fieldPosition="0">
        <references count="1">
          <reference field="0" count="50">
            <x v="8"/>
            <x v="14"/>
            <x v="17"/>
            <x v="18"/>
            <x v="20"/>
            <x v="34"/>
            <x v="35"/>
            <x v="57"/>
            <x v="58"/>
            <x v="60"/>
            <x v="63"/>
            <x v="64"/>
            <x v="67"/>
            <x v="74"/>
            <x v="76"/>
            <x v="79"/>
            <x v="84"/>
            <x v="103"/>
            <x v="106"/>
            <x v="111"/>
            <x v="114"/>
            <x v="115"/>
            <x v="118"/>
            <x v="122"/>
            <x v="128"/>
            <x v="132"/>
            <x v="133"/>
            <x v="155"/>
            <x v="162"/>
            <x v="186"/>
            <x v="190"/>
            <x v="191"/>
            <x v="200"/>
            <x v="201"/>
            <x v="203"/>
            <x v="209"/>
            <x v="218"/>
            <x v="227"/>
            <x v="230"/>
            <x v="235"/>
            <x v="237"/>
            <x v="238"/>
            <x v="251"/>
            <x v="252"/>
            <x v="262"/>
            <x v="267"/>
            <x v="273"/>
            <x v="283"/>
            <x v="285"/>
            <x v="286"/>
          </reference>
        </references>
      </pivotArea>
    </format>
    <format dxfId="289">
      <pivotArea dataOnly="0" labelOnly="1" outline="0" fieldPosition="0">
        <references count="1">
          <reference field="0" count="50">
            <x v="11"/>
            <x v="29"/>
            <x v="42"/>
            <x v="45"/>
            <x v="46"/>
            <x v="53"/>
            <x v="61"/>
            <x v="69"/>
            <x v="80"/>
            <x v="82"/>
            <x v="88"/>
            <x v="90"/>
            <x v="93"/>
            <x v="96"/>
            <x v="98"/>
            <x v="100"/>
            <x v="117"/>
            <x v="119"/>
            <x v="120"/>
            <x v="129"/>
            <x v="131"/>
            <x v="142"/>
            <x v="146"/>
            <x v="154"/>
            <x v="172"/>
            <x v="173"/>
            <x v="176"/>
            <x v="177"/>
            <x v="178"/>
            <x v="181"/>
            <x v="183"/>
            <x v="185"/>
            <x v="187"/>
            <x v="192"/>
            <x v="195"/>
            <x v="198"/>
            <x v="202"/>
            <x v="204"/>
            <x v="207"/>
            <x v="211"/>
            <x v="212"/>
            <x v="215"/>
            <x v="223"/>
            <x v="233"/>
            <x v="240"/>
            <x v="246"/>
            <x v="261"/>
            <x v="263"/>
            <x v="264"/>
            <x v="284"/>
          </reference>
        </references>
      </pivotArea>
    </format>
    <format dxfId="288">
      <pivotArea dataOnly="0" labelOnly="1" outline="0" fieldPosition="0">
        <references count="1">
          <reference field="0" count="37">
            <x v="22"/>
            <x v="26"/>
            <x v="28"/>
            <x v="30"/>
            <x v="31"/>
            <x v="40"/>
            <x v="41"/>
            <x v="49"/>
            <x v="50"/>
            <x v="52"/>
            <x v="66"/>
            <x v="87"/>
            <x v="102"/>
            <x v="105"/>
            <x v="109"/>
            <x v="130"/>
            <x v="135"/>
            <x v="153"/>
            <x v="158"/>
            <x v="171"/>
            <x v="175"/>
            <x v="180"/>
            <x v="182"/>
            <x v="188"/>
            <x v="194"/>
            <x v="196"/>
            <x v="221"/>
            <x v="229"/>
            <x v="236"/>
            <x v="241"/>
            <x v="242"/>
            <x v="244"/>
            <x v="258"/>
            <x v="265"/>
            <x v="266"/>
            <x v="269"/>
            <x v="272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279"/>
          </reference>
          <reference field="8" count="1">
            <x v="1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10"/>
          </reference>
          <reference field="8" count="1">
            <x v="1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134"/>
          </reference>
          <reference field="8" count="1">
            <x v="1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36"/>
          </reference>
          <reference field="8" count="1">
            <x v="1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97"/>
          </reference>
          <reference field="8" count="1">
            <x v="1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206"/>
          </reference>
          <reference field="8" count="1">
            <x v="1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110"/>
          </reference>
          <reference field="8" count="1">
            <x v="1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271"/>
          </reference>
          <reference field="8" count="1">
            <x v="1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68"/>
          </reference>
          <reference field="8" count="1">
            <x v="2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253"/>
          </reference>
          <reference field="8" count="1">
            <x v="2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7"/>
          </reference>
          <reference field="8" count="1">
            <x v="1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157"/>
          </reference>
          <reference field="8" count="1">
            <x v="1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148"/>
          </reference>
          <reference field="8" count="1">
            <x v="1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12"/>
          </reference>
          <reference field="8" count="1">
            <x v="1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124"/>
          </reference>
          <reference field="8" count="1">
            <x v="1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27"/>
          </reference>
          <reference field="8" count="1">
            <x v="1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9"/>
          </reference>
          <reference field="8" count="1">
            <x v="1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217"/>
          </reference>
          <reference field="8" count="1">
            <x v="1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250"/>
          </reference>
          <reference field="8" count="1">
            <x v="1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277"/>
          </reference>
          <reference field="8" count="1">
            <x v="1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239"/>
          </reference>
          <reference field="8" count="1">
            <x v="1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78"/>
          </reference>
          <reference field="8" count="1">
            <x v="1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205"/>
          </reference>
          <reference field="8" count="1">
            <x v="2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3"/>
          </reference>
          <reference field="8" count="1">
            <x v="1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168"/>
          </reference>
          <reference field="8" count="1">
            <x v="1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91"/>
          </reference>
          <reference field="8" count="1">
            <x v="1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248"/>
          </reference>
          <reference field="8" count="1">
            <x v="1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275"/>
          </reference>
          <reference field="8" count="1">
            <x v="1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257"/>
          </reference>
          <reference field="8" count="1">
            <x v="1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214"/>
          </reference>
          <reference field="8" count="1">
            <x v="1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169"/>
          </reference>
          <reference field="8" count="1">
            <x v="1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85"/>
          </reference>
          <reference field="8" count="1">
            <x v="2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23"/>
          </reference>
          <reference field="8" count="1">
            <x v="1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95"/>
          </reference>
          <reference field="8" count="1">
            <x v="1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04"/>
          </reference>
          <reference field="8" count="1">
            <x v="1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216"/>
          </reference>
          <reference field="8" count="1">
            <x v="1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167"/>
          </reference>
          <reference field="8" count="1">
            <x v="1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39"/>
          </reference>
          <reference field="8" count="1">
            <x v="2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6"/>
          </reference>
          <reference field="8" count="1">
            <x v="1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12"/>
          </reference>
          <reference field="8" count="1">
            <x v="1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5"/>
          </reference>
          <reference field="8" count="1">
            <x v="2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152"/>
          </reference>
          <reference field="8" count="1">
            <x v="1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37"/>
          </reference>
          <reference field="8" count="1">
            <x v="1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232"/>
          </reference>
          <reference field="8" count="1">
            <x v="2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55"/>
          </reference>
          <reference field="8" count="1">
            <x v="1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138"/>
          </reference>
          <reference field="8" count="1">
            <x v="1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282"/>
          </reference>
          <reference field="8" count="1">
            <x v="1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231"/>
          </reference>
          <reference field="8" count="1">
            <x v="1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59"/>
          </reference>
          <reference field="8" count="1">
            <x v="2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24"/>
          </reference>
          <reference field="8" count="1">
            <x v="2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89"/>
          </reference>
          <reference field="8" count="1">
            <x v="2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226"/>
          </reference>
          <reference field="8" count="1">
            <x v="1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144"/>
          </reference>
          <reference field="8" count="1">
            <x v="1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43"/>
          </reference>
          <reference field="8" count="1">
            <x v="1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99"/>
          </reference>
          <reference field="8" count="1">
            <x v="2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72"/>
          </reference>
          <reference field="8" count="1">
            <x v="2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139"/>
          </reference>
          <reference field="8" count="1">
            <x v="1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141"/>
          </reference>
          <reference field="8" count="1">
            <x v="4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44"/>
          </reference>
          <reference field="8" count="1">
            <x v="2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15"/>
          </reference>
          <reference field="8" count="1">
            <x v="2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56"/>
          </reference>
          <reference field="8" count="1">
            <x v="2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77"/>
          </reference>
          <reference field="8" count="1">
            <x v="1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113"/>
          </reference>
          <reference field="8" count="1">
            <x v="1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274"/>
          </reference>
          <reference field="8" count="1">
            <x v="1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45"/>
          </reference>
          <reference field="8" count="1">
            <x v="2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47"/>
          </reference>
          <reference field="8" count="1">
            <x v="2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66"/>
          </reference>
          <reference field="8" count="1">
            <x v="1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136"/>
          </reference>
          <reference field="8" count="1">
            <x v="2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228"/>
          </reference>
          <reference field="8" count="1">
            <x v="2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56"/>
          </reference>
          <reference field="8" count="1">
            <x v="2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50"/>
          </reference>
          <reference field="8" count="1">
            <x v="1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93"/>
          </reference>
          <reference field="8" count="1">
            <x v="1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243"/>
          </reference>
          <reference field="8" count="1">
            <x v="1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54"/>
          </reference>
          <reference field="8" count="1">
            <x v="4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256"/>
          </reference>
          <reference field="8" count="1">
            <x v="2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51"/>
          </reference>
          <reference field="8" count="1">
            <x v="2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75"/>
          </reference>
          <reference field="8" count="1">
            <x v="2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254"/>
          </reference>
          <reference field="8" count="1">
            <x v="4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149"/>
          </reference>
          <reference field="8" count="1">
            <x v="1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174"/>
          </reference>
          <reference field="8" count="1">
            <x v="4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2"/>
          </reference>
          <reference field="8" count="1">
            <x v="2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71"/>
          </reference>
          <reference field="8" count="1">
            <x v="2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210"/>
          </reference>
          <reference field="8" count="1">
            <x v="2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47"/>
          </reference>
          <reference field="8" count="1">
            <x v="4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33"/>
          </reference>
          <reference field="8" count="1">
            <x v="2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101"/>
          </reference>
          <reference field="8" count="1">
            <x v="2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260"/>
          </reference>
          <reference field="8" count="1">
            <x v="2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270"/>
          </reference>
          <reference field="8" count="1">
            <x v="4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255"/>
          </reference>
          <reference field="8" count="1">
            <x v="4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123"/>
          </reference>
          <reference field="8" count="1">
            <x v="2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94"/>
          </reference>
          <reference field="8" count="1">
            <x v="4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219"/>
          </reference>
          <reference field="8" count="1">
            <x v="2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25"/>
          </reference>
          <reference field="8" count="1">
            <x v="2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234"/>
          </reference>
          <reference field="8" count="1">
            <x v="2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268"/>
          </reference>
          <reference field="8" count="1">
            <x v="1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225"/>
          </reference>
          <reference field="8" count="1">
            <x v="1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73"/>
          </reference>
          <reference field="8" count="1">
            <x v="2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276"/>
          </reference>
          <reference field="8" count="1">
            <x v="4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278"/>
          </reference>
          <reference field="8" count="1">
            <x v="2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16"/>
          </reference>
          <reference field="8" count="1">
            <x v="4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43"/>
          </reference>
          <reference field="8" count="1">
            <x v="4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125"/>
          </reference>
          <reference field="8" count="1">
            <x v="2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137"/>
          </reference>
          <reference field="8" count="1">
            <x v="2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0"/>
          </reference>
          <reference field="8" count="1">
            <x v="1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86"/>
          </reference>
          <reference field="8" count="1">
            <x v="1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38"/>
          </reference>
          <reference field="8" count="1">
            <x v="4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4"/>
          </reference>
          <reference field="8" count="1">
            <x v="1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197"/>
          </reference>
          <reference field="8" count="1">
            <x v="4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161"/>
          </reference>
          <reference field="8" count="1">
            <x v="2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21"/>
          </reference>
          <reference field="8" count="1">
            <x v="2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189"/>
          </reference>
          <reference field="8" count="1">
            <x v="1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140"/>
          </reference>
          <reference field="8" count="1">
            <x v="2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163"/>
          </reference>
          <reference field="8" count="1">
            <x v="2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199"/>
          </reference>
          <reference field="8" count="1">
            <x v="4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213"/>
          </reference>
          <reference field="8" count="1">
            <x v="1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222"/>
          </reference>
          <reference field="8" count="1">
            <x v="4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247"/>
          </reference>
          <reference field="8" count="1">
            <x v="2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70"/>
          </reference>
          <reference field="8" count="1">
            <x v="4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179"/>
          </reference>
          <reference field="8" count="1">
            <x v="2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83"/>
          </reference>
          <reference field="8" count="1">
            <x v="2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16"/>
          </reference>
          <reference field="8" count="1">
            <x v="4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208"/>
          </reference>
          <reference field="8" count="1">
            <x v="2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280"/>
          </reference>
          <reference field="8" count="1">
            <x v="4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245"/>
          </reference>
          <reference field="8" count="1">
            <x v="3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151"/>
          </reference>
          <reference field="8" count="1">
            <x v="2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32"/>
          </reference>
          <reference field="8" count="1">
            <x v="4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92"/>
          </reference>
          <reference field="8" count="1">
            <x v="2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13"/>
          </reference>
          <reference field="8" count="1">
            <x v="2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184"/>
          </reference>
          <reference field="8" count="1">
            <x v="4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159"/>
          </reference>
          <reference field="8" count="1">
            <x v="2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126"/>
          </reference>
          <reference field="8" count="1">
            <x v="2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107"/>
          </reference>
          <reference field="8" count="1">
            <x v="4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249"/>
          </reference>
          <reference field="8" count="1">
            <x v="4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81"/>
          </reference>
          <reference field="8" count="1">
            <x v="4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281"/>
          </reference>
          <reference field="8" count="1">
            <x v="2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19"/>
          </reference>
          <reference field="8" count="1">
            <x v="4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65"/>
          </reference>
          <reference field="8" count="1">
            <x v="2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62"/>
          </reference>
          <reference field="8" count="1">
            <x v="2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170"/>
          </reference>
          <reference field="8" count="1">
            <x v="2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259"/>
          </reference>
          <reference field="8" count="1">
            <x v="4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220"/>
          </reference>
          <reference field="8" count="1">
            <x v="4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165"/>
          </reference>
          <reference field="8" count="1">
            <x v="4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224"/>
          </reference>
          <reference field="8" count="1">
            <x v="4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1"/>
          </reference>
          <reference field="8" count="1">
            <x v="2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27"/>
          </reference>
          <reference field="8" count="1">
            <x v="2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121"/>
          </reference>
          <reference field="8" count="1">
            <x v="2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60"/>
          </reference>
          <reference field="8" count="1">
            <x v="3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08"/>
          </reference>
          <reference field="8" count="1">
            <x v="4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48"/>
          </reference>
          <reference field="8" count="1">
            <x v="4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164"/>
          </reference>
          <reference field="8" count="1">
            <x v="2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86"/>
          </reference>
          <reference field="8" count="1">
            <x v="2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76"/>
          </reference>
          <reference field="8" count="1">
            <x v="4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8"/>
          </reference>
          <reference field="8" count="1">
            <x v="2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155"/>
          </reference>
          <reference field="8" count="1">
            <x v="2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103"/>
          </reference>
          <reference field="8" count="1">
            <x v="4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128"/>
          </reference>
          <reference field="8" count="1">
            <x v="2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230"/>
          </reference>
          <reference field="8" count="1">
            <x v="2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58"/>
          </reference>
          <reference field="8" count="1">
            <x v="4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20"/>
          </reference>
          <reference field="8" count="1">
            <x v="2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251"/>
          </reference>
          <reference field="8" count="1">
            <x v="2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7"/>
          </reference>
          <reference field="8" count="1">
            <x v="4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63"/>
          </reference>
          <reference field="8" count="1">
            <x v="3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84"/>
          </reference>
          <reference field="8" count="1">
            <x v="1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60"/>
          </reference>
          <reference field="8" count="1">
            <x v="2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237"/>
          </reference>
          <reference field="8" count="1">
            <x v="4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262"/>
          </reference>
          <reference field="8" count="1">
            <x v="3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286"/>
          </reference>
          <reference field="8" count="1">
            <x v="4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201"/>
          </reference>
          <reference field="8" count="1">
            <x v="4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209"/>
          </reference>
          <reference field="8" count="1">
            <x v="2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238"/>
          </reference>
          <reference field="8" count="1">
            <x v="4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267"/>
          </reference>
          <reference field="8" count="1">
            <x v="4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57"/>
          </reference>
          <reference field="8" count="1">
            <x v="4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122"/>
          </reference>
          <reference field="8" count="1">
            <x v="4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111"/>
          </reference>
          <reference field="8" count="1">
            <x v="4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115"/>
          </reference>
          <reference field="8" count="1">
            <x v="4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191"/>
          </reference>
          <reference field="8" count="1">
            <x v="4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114"/>
          </reference>
          <reference field="8" count="1">
            <x v="3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35"/>
          </reference>
          <reference field="8" count="1">
            <x v="4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79"/>
          </reference>
          <reference field="8" count="1">
            <x v="3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190"/>
          </reference>
          <reference field="8" count="1">
            <x v="2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18"/>
          </reference>
          <reference field="8" count="1">
            <x v="3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67"/>
          </reference>
          <reference field="8" count="1">
            <x v="4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283"/>
          </reference>
          <reference field="8" count="1">
            <x v="4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200"/>
          </reference>
          <reference field="8" count="1">
            <x v="4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133"/>
          </reference>
          <reference field="8" count="1">
            <x v="4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203"/>
          </reference>
          <reference field="8" count="1">
            <x v="2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34"/>
          </reference>
          <reference field="8" count="1">
            <x v="4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64"/>
          </reference>
          <reference field="8" count="1">
            <x v="3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273"/>
          </reference>
          <reference field="8" count="1">
            <x v="2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14"/>
          </reference>
          <reference field="8" count="1">
            <x v="3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74"/>
          </reference>
          <reference field="8" count="1">
            <x v="4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235"/>
          </reference>
          <reference field="8" count="1">
            <x v="4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252"/>
          </reference>
          <reference field="8" count="1">
            <x v="4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62"/>
          </reference>
          <reference field="8" count="1">
            <x v="4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218"/>
          </reference>
          <reference field="8" count="1">
            <x v="4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106"/>
          </reference>
          <reference field="8" count="1">
            <x v="4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285"/>
          </reference>
          <reference field="8" count="1">
            <x v="4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8"/>
          </reference>
          <reference field="8" count="1">
            <x v="2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132"/>
          </reference>
          <reference field="8" count="1">
            <x v="2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227"/>
          </reference>
          <reference field="8" count="1">
            <x v="3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263"/>
          </reference>
          <reference field="8" count="1">
            <x v="4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129"/>
          </reference>
          <reference field="8" count="1">
            <x v="2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172"/>
          </reference>
          <reference field="8" count="1">
            <x v="4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178"/>
          </reference>
          <reference field="8" count="1">
            <x v="3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207"/>
          </reference>
          <reference field="8" count="1">
            <x v="4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183"/>
          </reference>
          <reference field="8" count="1">
            <x v="4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246"/>
          </reference>
          <reference field="8" count="1">
            <x v="3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73"/>
          </reference>
          <reference field="8" count="1">
            <x v="4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181"/>
          </reference>
          <reference field="8" count="1">
            <x v="3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233"/>
          </reference>
          <reference field="8" count="1">
            <x v="3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146"/>
          </reference>
          <reference field="8" count="1">
            <x v="3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90"/>
          </reference>
          <reference field="8" count="1">
            <x v="3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46"/>
          </reference>
          <reference field="8" count="1">
            <x v="4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176"/>
          </reference>
          <reference field="8" count="1">
            <x v="4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45"/>
          </reference>
          <reference field="8" count="1">
            <x v="4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88"/>
          </reference>
          <reference field="8" count="1">
            <x v="4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211"/>
          </reference>
          <reference field="8" count="1">
            <x v="3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11"/>
          </reference>
          <reference field="8" count="1">
            <x v="4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212"/>
          </reference>
          <reference field="8" count="1">
            <x v="2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80"/>
          </reference>
          <reference field="8" count="1">
            <x v="2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54"/>
          </reference>
          <reference field="8" count="1">
            <x v="3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204"/>
          </reference>
          <reference field="8" count="1">
            <x v="4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100"/>
          </reference>
          <reference field="8" count="1">
            <x v="4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284"/>
          </reference>
          <reference field="8" count="1">
            <x v="4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264"/>
          </reference>
          <reference field="8" count="1">
            <x v="4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261"/>
          </reference>
          <reference field="8" count="1">
            <x v="3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117"/>
          </reference>
          <reference field="8" count="1">
            <x v="3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31"/>
          </reference>
          <reference field="8" count="1">
            <x v="3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29"/>
          </reference>
          <reference field="8" count="1">
            <x v="3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92"/>
          </reference>
          <reference field="8" count="1">
            <x v="4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215"/>
          </reference>
          <reference field="8" count="1">
            <x v="4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53"/>
          </reference>
          <reference field="8" count="1">
            <x v="3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61"/>
          </reference>
          <reference field="8" count="1">
            <x v="4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120"/>
          </reference>
          <reference field="8" count="1">
            <x v="3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87"/>
          </reference>
          <reference field="8" count="1">
            <x v="3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42"/>
          </reference>
          <reference field="8" count="1">
            <x v="3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98"/>
          </reference>
          <reference field="8" count="1">
            <x v="4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96"/>
          </reference>
          <reference field="8" count="1">
            <x v="3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223"/>
          </reference>
          <reference field="8" count="1">
            <x v="3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82"/>
          </reference>
          <reference field="8" count="1">
            <x v="3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142"/>
          </reference>
          <reference field="8" count="1">
            <x v="3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202"/>
          </reference>
          <reference field="8" count="1">
            <x v="4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240"/>
          </reference>
          <reference field="8" count="1">
            <x v="3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195"/>
          </reference>
          <reference field="8" count="1">
            <x v="4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69"/>
          </reference>
          <reference field="8" count="1">
            <x v="3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119"/>
          </reference>
          <reference field="8" count="1">
            <x v="3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85"/>
          </reference>
          <reference field="8" count="1">
            <x v="3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98"/>
          </reference>
          <reference field="8" count="1">
            <x v="3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93"/>
          </reference>
          <reference field="8" count="1">
            <x v="3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77"/>
          </reference>
          <reference field="8" count="1">
            <x v="3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80"/>
          </reference>
          <reference field="8" count="1">
            <x v="0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22"/>
          </reference>
          <reference field="8" count="1">
            <x v="3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82"/>
          </reference>
          <reference field="8" count="1">
            <x v="3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35"/>
          </reference>
          <reference field="8" count="1">
            <x v="3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31"/>
          </reference>
          <reference field="8" count="1">
            <x v="3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30"/>
          </reference>
          <reference field="8" count="1">
            <x v="0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272"/>
          </reference>
          <reference field="8" count="1">
            <x v="4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53"/>
          </reference>
          <reference field="8" count="1">
            <x v="3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50"/>
          </reference>
          <reference field="8" count="1">
            <x v="3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49"/>
          </reference>
          <reference field="8" count="1">
            <x v="4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66"/>
          </reference>
          <reference field="8" count="1">
            <x v="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29"/>
          </reference>
          <reference field="8" count="1">
            <x v="4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244"/>
          </reference>
          <reference field="8" count="1">
            <x v="0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40"/>
          </reference>
          <reference field="8" count="1">
            <x v="0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71"/>
          </reference>
          <reference field="8" count="1">
            <x v="0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236"/>
          </reference>
          <reference field="8" count="1">
            <x v="3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241"/>
          </reference>
          <reference field="8" count="1">
            <x v="0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87"/>
          </reference>
          <reference field="8" count="1">
            <x v="0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105"/>
          </reference>
          <reference field="8" count="1">
            <x v="3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266"/>
          </reference>
          <reference field="8" count="1">
            <x v="3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52"/>
          </reference>
          <reference field="8" count="1">
            <x v="3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41"/>
          </reference>
          <reference field="8" count="1">
            <x v="3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158"/>
          </reference>
          <reference field="8" count="1">
            <x v="0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221"/>
          </reference>
          <reference field="8" count="1">
            <x v="3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175"/>
          </reference>
          <reference field="8" count="1">
            <x v="3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28"/>
          </reference>
          <reference field="8" count="1">
            <x v="0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194"/>
          </reference>
          <reference field="8" count="1">
            <x v="0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102"/>
          </reference>
          <reference field="8" count="1">
            <x v="0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30"/>
          </reference>
          <reference field="8" count="1">
            <x v="3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269"/>
          </reference>
          <reference field="8" count="1">
            <x v="3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265"/>
          </reference>
          <reference field="8" count="1">
            <x v="0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196"/>
          </reference>
          <reference field="8" count="1">
            <x v="3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26"/>
          </reference>
          <reference field="8" count="1">
            <x v="3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109"/>
          </reference>
          <reference field="8" count="1">
            <x v="3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258"/>
          </reference>
          <reference field="8" count="1">
            <x v="0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188"/>
          </reference>
          <reference field="8" count="1">
            <x v="3"/>
          </reference>
        </references>
      </pivotArea>
    </format>
    <format dxfId="1">
      <pivotArea dataOnly="0" labelOnly="1" outline="0" fieldPosition="0">
        <references count="2">
          <reference field="0" count="1" selected="0">
            <x v="242"/>
          </reference>
          <reference field="8" count="1">
            <x v="3"/>
          </reference>
        </references>
      </pivotArea>
    </format>
    <format dxfId="0">
      <pivotArea dataOnly="0" labelOnly="1" outline="0" axis="axisValues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C0682-3AC2-4BBF-AECB-032FA2224697}" name="PivotTable10" cacheId="1" applyNumberFormats="0" applyBorderFormats="0" applyFontFormats="0" applyPatternFormats="0" applyAlignmentFormats="0" applyWidthHeightFormats="1" dataCaption="Values" updatedVersion="7" minRefreshableVersion="3" useAutoFormatting="1" createdVersion="5" indent="0" compact="0" compactData="0" multipleFieldFilters="0">
  <location ref="A372:H378" firstHeaderRow="0" firstDataRow="1" firstDataCol="1"/>
  <pivotFields count="9">
    <pivotField dataField="1" compact="0" outline="0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dataField="1" compact="0" numFmtId="166" outline="0" showAll="0"/>
    <pivotField dataField="1" compact="0" outline="0" showAll="0"/>
    <pivotField dataField="1" compact="0" outline="0" showAll="0">
      <items count="284">
        <item x="239"/>
        <item x="186"/>
        <item x="255"/>
        <item x="108"/>
        <item x="26"/>
        <item x="194"/>
        <item x="265"/>
        <item x="30"/>
        <item x="101"/>
        <item x="192"/>
        <item x="28"/>
        <item x="173"/>
        <item x="219"/>
        <item x="156"/>
        <item x="41"/>
        <item x="51"/>
        <item x="262"/>
        <item x="104"/>
        <item x="86"/>
        <item x="238"/>
        <item x="233"/>
        <item x="169"/>
        <item x="40"/>
        <item x="241"/>
        <item x="226"/>
        <item x="65"/>
        <item x="48"/>
        <item x="49"/>
        <item x="152"/>
        <item x="268"/>
        <item x="129"/>
        <item x="31"/>
        <item x="134"/>
        <item x="180"/>
        <item x="22"/>
        <item x="178"/>
        <item x="175"/>
        <item x="92"/>
        <item x="97"/>
        <item x="183"/>
        <item x="118"/>
        <item x="68"/>
        <item x="193"/>
        <item x="237"/>
        <item x="200"/>
        <item x="141"/>
        <item x="81"/>
        <item x="221"/>
        <item x="95"/>
        <item x="196"/>
        <item x="42"/>
        <item x="185"/>
        <item x="119"/>
        <item x="60"/>
        <item x="52"/>
        <item x="213"/>
        <item x="190"/>
        <item x="29"/>
        <item x="130"/>
        <item x="116"/>
        <item x="258"/>
        <item x="261"/>
        <item x="280"/>
        <item x="99"/>
        <item x="202"/>
        <item x="153"/>
        <item x="79"/>
        <item x="210"/>
        <item x="11"/>
        <item x="209"/>
        <item x="87"/>
        <item x="44"/>
        <item x="174"/>
        <item x="45"/>
        <item x="89"/>
        <item x="145"/>
        <item x="230"/>
        <item x="179"/>
        <item x="171"/>
        <item x="243"/>
        <item x="181"/>
        <item x="205"/>
        <item x="176"/>
        <item x="170"/>
        <item x="128"/>
        <item x="260"/>
        <item x="224"/>
        <item x="131"/>
        <item x="8"/>
        <item x="281"/>
        <item x="105"/>
        <item x="216"/>
        <item x="160"/>
        <item x="249"/>
        <item x="232"/>
        <item x="73"/>
        <item x="14"/>
        <item x="269"/>
        <item x="63"/>
        <item x="34"/>
        <item x="201"/>
        <item x="132"/>
        <item x="198"/>
        <item x="279"/>
        <item x="66"/>
        <item x="117"/>
        <item x="188"/>
        <item x="78"/>
        <item x="35"/>
        <item x="113"/>
        <item x="189"/>
        <item x="114"/>
        <item x="110"/>
        <item x="121"/>
        <item x="56"/>
        <item x="263"/>
        <item x="235"/>
        <item x="207"/>
        <item x="199"/>
        <item x="282"/>
        <item x="259"/>
        <item x="234"/>
        <item x="59"/>
        <item x="83"/>
        <item x="62"/>
        <item x="17"/>
        <item x="248"/>
        <item x="20"/>
        <item x="57"/>
        <item x="227"/>
        <item x="127"/>
        <item x="102"/>
        <item x="154"/>
        <item x="18"/>
        <item x="75"/>
        <item x="184"/>
        <item x="162"/>
        <item x="47"/>
        <item x="107"/>
        <item x="158"/>
        <item x="120"/>
        <item x="126"/>
        <item x="1"/>
        <item x="222"/>
        <item x="163"/>
        <item x="218"/>
        <item x="256"/>
        <item x="168"/>
        <item x="61"/>
        <item x="64"/>
        <item x="19"/>
        <item x="277"/>
        <item x="80"/>
        <item x="246"/>
        <item x="106"/>
        <item x="125"/>
        <item x="157"/>
        <item x="182"/>
        <item x="13"/>
        <item x="91"/>
        <item x="32"/>
        <item x="150"/>
        <item x="242"/>
        <item x="276"/>
        <item x="206"/>
        <item x="115"/>
        <item x="82"/>
        <item x="177"/>
        <item x="69"/>
        <item x="244"/>
        <item x="220"/>
        <item x="211"/>
        <item x="197"/>
        <item x="161"/>
        <item x="139"/>
        <item x="187"/>
        <item x="21"/>
        <item x="159"/>
        <item x="195"/>
        <item x="4"/>
        <item x="38"/>
        <item x="85"/>
        <item x="0"/>
        <item x="136"/>
        <item x="124"/>
        <item x="43"/>
        <item x="16"/>
        <item x="274"/>
        <item x="272"/>
        <item x="72"/>
        <item x="264"/>
        <item x="231"/>
        <item x="25"/>
        <item x="217"/>
        <item x="93"/>
        <item x="122"/>
        <item x="252"/>
        <item x="266"/>
        <item x="257"/>
        <item x="100"/>
        <item x="33"/>
        <item x="146"/>
        <item x="208"/>
        <item x="70"/>
        <item x="2"/>
        <item x="172"/>
        <item x="148"/>
        <item x="251"/>
        <item x="74"/>
        <item x="50"/>
        <item x="253"/>
        <item x="53"/>
        <item x="240"/>
        <item x="191"/>
        <item x="149"/>
        <item x="225"/>
        <item x="135"/>
        <item x="164"/>
        <item x="46"/>
        <item x="144"/>
        <item x="270"/>
        <item x="112"/>
        <item x="76"/>
        <item x="55"/>
        <item x="15"/>
        <item x="140"/>
        <item x="138"/>
        <item x="71"/>
        <item x="98"/>
        <item x="142"/>
        <item x="143"/>
        <item x="223"/>
        <item x="88"/>
        <item x="24"/>
        <item x="58"/>
        <item x="228"/>
        <item x="278"/>
        <item x="137"/>
        <item x="54"/>
        <item x="229"/>
        <item x="37"/>
        <item x="151"/>
        <item x="5"/>
        <item x="111"/>
        <item x="6"/>
        <item x="39"/>
        <item x="165"/>
        <item x="214"/>
        <item x="103"/>
        <item x="94"/>
        <item x="23"/>
        <item x="84"/>
        <item x="167"/>
        <item x="212"/>
        <item x="254"/>
        <item x="271"/>
        <item x="245"/>
        <item x="90"/>
        <item x="166"/>
        <item x="3"/>
        <item x="203"/>
        <item x="77"/>
        <item x="236"/>
        <item x="273"/>
        <item x="247"/>
        <item x="215"/>
        <item x="9"/>
        <item x="27"/>
        <item x="123"/>
        <item x="12"/>
        <item x="147"/>
        <item x="155"/>
        <item x="7"/>
        <item x="250"/>
        <item x="67"/>
        <item x="267"/>
        <item x="109"/>
        <item x="204"/>
        <item x="96"/>
        <item x="36"/>
        <item x="133"/>
        <item x="10"/>
        <item x="27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Customers" fld="0" subtotal="count" baseField="0" baseItem="0"/>
    <dataField name="% Of Total Customers" fld="0" subtotal="count" showDataAs="percentOfTotal" baseField="0" baseItem="0" numFmtId="10"/>
    <dataField name="Sum of Monetary" fld="3" baseField="0" baseItem="0"/>
    <dataField name="% Of Total Revenue" fld="3" showDataAs="percentOfTotal" baseField="0" baseItem="0" numFmtId="10"/>
    <dataField name="Average of Monetary2" fld="3" subtotal="average" baseField="8" baseItem="0" numFmtId="168"/>
    <dataField name="Average of Recency" fld="1" subtotal="average" baseField="8" baseItem="0" numFmtId="1"/>
    <dataField name="Average of Frequency" fld="2" subtotal="average" baseField="8" baseItem="0" numFmtId="1"/>
  </dataFields>
  <formats count="16">
    <format dxfId="316">
      <pivotArea type="all" dataOnly="0" outline="0" fieldPosition="0"/>
    </format>
    <format dxfId="315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31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1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12">
      <pivotArea dataOnly="0" labelOnly="1" fieldPosition="0">
        <references count="1">
          <reference field="4294967294" count="1">
            <x v="2"/>
          </reference>
        </references>
      </pivotArea>
    </format>
    <format dxfId="311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10">
      <pivotArea outline="0" fieldPosition="0">
        <references count="1">
          <reference field="4294967294" count="3" selected="0">
            <x v="4"/>
            <x v="5"/>
            <x v="6"/>
          </reference>
        </references>
      </pivotArea>
    </format>
    <format dxfId="309">
      <pivotArea dataOnly="0" labelOnly="1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308">
      <pivotArea outline="0" fieldPosition="0">
        <references count="1">
          <reference field="4294967294" count="1" selected="0">
            <x v="4"/>
          </reference>
        </references>
      </pivotArea>
    </format>
    <format dxfId="307">
      <pivotArea outline="0" fieldPosition="0">
        <references count="1">
          <reference field="4294967294" count="2" selected="0">
            <x v="5"/>
            <x v="6"/>
          </reference>
        </references>
      </pivotArea>
    </format>
    <format dxfId="306">
      <pivotArea type="all" dataOnly="0" outline="0" fieldPosition="0"/>
    </format>
    <format dxfId="305">
      <pivotArea outline="0" collapsedLevelsAreSubtotals="1" fieldPosition="0"/>
    </format>
    <format dxfId="304">
      <pivotArea field="8" type="button" dataOnly="0" labelOnly="1" outline="0" axis="axisRow" fieldPosition="0"/>
    </format>
    <format dxfId="303">
      <pivotArea dataOnly="0" labelOnly="1" outline="0" fieldPosition="0">
        <references count="1">
          <reference field="8" count="0"/>
        </references>
      </pivotArea>
    </format>
    <format dxfId="302">
      <pivotArea dataOnly="0" labelOnly="1" grandRow="1" outline="0" fieldPosition="0"/>
    </format>
    <format dxfId="30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790FC-9436-48ED-A0AB-1BBB19AF11C5}" name="PivotTable7" cacheId="1" applyNumberFormats="0" applyBorderFormats="0" applyFontFormats="0" applyPatternFormats="0" applyAlignmentFormats="0" applyWidthHeightFormats="1" dataCaption="Values" updatedVersion="7" minRefreshableVersion="3" useAutoFormatting="1" createdVersion="5" indent="0" outline="1" outlineData="1" multipleFieldFilters="0">
  <location ref="A354:D368" firstHeaderRow="0" firstDataRow="1" firstDataCol="1" rowPageCount="1" colPageCount="1"/>
  <pivotFields count="9">
    <pivotField axis="axisRow" showAll="0" sortType="descending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numFmtId="166" showAll="0"/>
    <pivotField dataField="1" showAll="0"/>
    <pivotField dataField="1" showAll="0">
      <items count="284">
        <item x="239"/>
        <item x="186"/>
        <item x="255"/>
        <item x="108"/>
        <item x="26"/>
        <item x="194"/>
        <item x="265"/>
        <item x="30"/>
        <item x="101"/>
        <item x="192"/>
        <item x="28"/>
        <item x="173"/>
        <item x="219"/>
        <item x="156"/>
        <item x="41"/>
        <item x="51"/>
        <item x="262"/>
        <item x="104"/>
        <item x="86"/>
        <item x="238"/>
        <item x="233"/>
        <item x="169"/>
        <item x="40"/>
        <item x="241"/>
        <item x="226"/>
        <item x="65"/>
        <item x="48"/>
        <item x="49"/>
        <item x="152"/>
        <item x="268"/>
        <item x="129"/>
        <item x="31"/>
        <item x="134"/>
        <item x="180"/>
        <item x="22"/>
        <item x="178"/>
        <item x="175"/>
        <item x="92"/>
        <item x="97"/>
        <item x="183"/>
        <item x="118"/>
        <item x="68"/>
        <item x="193"/>
        <item x="237"/>
        <item x="200"/>
        <item x="141"/>
        <item x="81"/>
        <item x="221"/>
        <item x="95"/>
        <item x="196"/>
        <item x="42"/>
        <item x="185"/>
        <item x="119"/>
        <item x="60"/>
        <item x="52"/>
        <item x="213"/>
        <item x="190"/>
        <item x="29"/>
        <item x="130"/>
        <item x="116"/>
        <item x="258"/>
        <item x="261"/>
        <item x="280"/>
        <item x="99"/>
        <item x="202"/>
        <item x="153"/>
        <item x="79"/>
        <item x="210"/>
        <item x="11"/>
        <item x="209"/>
        <item x="87"/>
        <item x="44"/>
        <item x="174"/>
        <item x="45"/>
        <item x="89"/>
        <item x="145"/>
        <item x="230"/>
        <item x="179"/>
        <item x="171"/>
        <item x="243"/>
        <item x="181"/>
        <item x="205"/>
        <item x="176"/>
        <item x="170"/>
        <item x="128"/>
        <item x="260"/>
        <item x="224"/>
        <item x="131"/>
        <item x="8"/>
        <item x="281"/>
        <item x="105"/>
        <item x="216"/>
        <item x="160"/>
        <item x="249"/>
        <item x="232"/>
        <item x="73"/>
        <item x="14"/>
        <item x="269"/>
        <item x="63"/>
        <item x="34"/>
        <item x="201"/>
        <item x="132"/>
        <item x="198"/>
        <item x="279"/>
        <item x="66"/>
        <item x="117"/>
        <item x="188"/>
        <item x="78"/>
        <item x="35"/>
        <item x="113"/>
        <item x="189"/>
        <item x="114"/>
        <item x="110"/>
        <item x="121"/>
        <item x="56"/>
        <item x="263"/>
        <item x="235"/>
        <item x="207"/>
        <item x="199"/>
        <item x="282"/>
        <item x="259"/>
        <item x="234"/>
        <item x="59"/>
        <item x="83"/>
        <item x="62"/>
        <item x="17"/>
        <item x="248"/>
        <item x="20"/>
        <item x="57"/>
        <item x="227"/>
        <item x="127"/>
        <item x="102"/>
        <item x="154"/>
        <item x="18"/>
        <item x="75"/>
        <item x="184"/>
        <item x="162"/>
        <item x="47"/>
        <item x="107"/>
        <item x="158"/>
        <item x="120"/>
        <item x="126"/>
        <item x="1"/>
        <item x="222"/>
        <item x="163"/>
        <item x="218"/>
        <item x="256"/>
        <item x="168"/>
        <item x="61"/>
        <item x="64"/>
        <item x="19"/>
        <item x="277"/>
        <item x="80"/>
        <item x="246"/>
        <item x="106"/>
        <item x="125"/>
        <item x="157"/>
        <item x="182"/>
        <item x="13"/>
        <item x="91"/>
        <item x="32"/>
        <item x="150"/>
        <item x="242"/>
        <item x="276"/>
        <item x="206"/>
        <item x="115"/>
        <item x="82"/>
        <item x="177"/>
        <item x="69"/>
        <item x="244"/>
        <item x="220"/>
        <item x="211"/>
        <item x="197"/>
        <item x="161"/>
        <item x="139"/>
        <item x="187"/>
        <item x="21"/>
        <item x="159"/>
        <item x="195"/>
        <item x="4"/>
        <item x="38"/>
        <item x="85"/>
        <item x="0"/>
        <item x="136"/>
        <item x="124"/>
        <item x="43"/>
        <item x="16"/>
        <item x="274"/>
        <item x="272"/>
        <item x="72"/>
        <item x="264"/>
        <item x="231"/>
        <item x="25"/>
        <item x="217"/>
        <item x="93"/>
        <item x="122"/>
        <item x="252"/>
        <item x="266"/>
        <item x="257"/>
        <item x="100"/>
        <item x="33"/>
        <item x="146"/>
        <item x="208"/>
        <item x="70"/>
        <item x="2"/>
        <item x="172"/>
        <item x="148"/>
        <item x="251"/>
        <item x="74"/>
        <item x="50"/>
        <item x="253"/>
        <item x="53"/>
        <item x="240"/>
        <item x="191"/>
        <item x="149"/>
        <item x="225"/>
        <item x="135"/>
        <item x="164"/>
        <item x="46"/>
        <item x="144"/>
        <item x="270"/>
        <item x="112"/>
        <item x="76"/>
        <item x="55"/>
        <item x="15"/>
        <item x="140"/>
        <item x="138"/>
        <item x="71"/>
        <item x="98"/>
        <item x="142"/>
        <item x="143"/>
        <item x="223"/>
        <item x="88"/>
        <item x="24"/>
        <item x="58"/>
        <item x="228"/>
        <item x="278"/>
        <item x="137"/>
        <item x="54"/>
        <item x="229"/>
        <item x="37"/>
        <item x="151"/>
        <item x="5"/>
        <item x="111"/>
        <item x="6"/>
        <item x="39"/>
        <item x="165"/>
        <item x="214"/>
        <item x="103"/>
        <item x="94"/>
        <item x="23"/>
        <item x="84"/>
        <item x="167"/>
        <item x="212"/>
        <item x="254"/>
        <item x="271"/>
        <item x="245"/>
        <item x="90"/>
        <item x="166"/>
        <item x="3"/>
        <item x="203"/>
        <item x="77"/>
        <item x="236"/>
        <item x="273"/>
        <item x="247"/>
        <item x="215"/>
        <item x="9"/>
        <item x="27"/>
        <item x="123"/>
        <item x="12"/>
        <item x="147"/>
        <item x="155"/>
        <item x="7"/>
        <item x="250"/>
        <item x="67"/>
        <item x="267"/>
        <item x="109"/>
        <item x="204"/>
        <item x="96"/>
        <item x="36"/>
        <item x="133"/>
        <item x="10"/>
        <item x="27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4"/>
        <item h="1" x="0"/>
        <item h="1" x="1"/>
        <item h="1" x="3"/>
        <item h="1" x="2"/>
        <item t="default"/>
      </items>
    </pivotField>
  </pivotFields>
  <rowFields count="1">
    <field x="0"/>
  </rowFields>
  <rowItems count="14">
    <i>
      <x v="180"/>
    </i>
    <i>
      <x v="130"/>
    </i>
    <i>
      <x v="244"/>
    </i>
    <i>
      <x v="40"/>
    </i>
    <i>
      <x v="171"/>
    </i>
    <i>
      <x v="241"/>
    </i>
    <i>
      <x v="87"/>
    </i>
    <i>
      <x v="158"/>
    </i>
    <i>
      <x v="28"/>
    </i>
    <i>
      <x v="194"/>
    </i>
    <i>
      <x v="102"/>
    </i>
    <i>
      <x v="265"/>
    </i>
    <i>
      <x v="25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Sum of Recency" fld="1" baseField="0" baseItem="0"/>
    <dataField name="Sum of Frequency" fld="2" baseField="0" baseItem="0"/>
    <dataField name="Sum of Monetary" fld="3" baseField="0" baseItem="0" numFmtId="168"/>
  </dataFields>
  <formats count="4">
    <format dxfId="320">
      <pivotArea type="all" dataOnly="0" outline="0" fieldPosition="0"/>
    </format>
    <format dxfId="319">
      <pivotArea outline="0" collapsedLevelsAreSubtotals="1" fieldPosition="0"/>
    </format>
    <format dxfId="318">
      <pivotArea dataOnly="0" labelOnly="1" outline="0" axis="axisValues" fieldPosition="0"/>
    </format>
    <format dxfId="317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9" firstHeaderRow="1" firstDataRow="1" firstDataCol="1"/>
  <pivotFields count="9">
    <pivotField dataField="1" compact="0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compact="0" numFmtId="16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formats count="1">
    <format dxfId="321">
      <pivotArea type="all" dataOnly="0" outline="0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8DF93-ABD9-4042-8C9D-8DE02D9D0DD7}" name="PivotTable6" cacheId="1" applyNumberFormats="0" applyBorderFormats="0" applyFontFormats="0" applyPatternFormats="0" applyAlignmentFormats="0" applyWidthHeightFormats="1" dataCaption="Values" updatedVersion="7" minRefreshableVersion="3" useAutoFormatting="1" createdVersion="5" indent="0" outline="1" outlineData="1" multipleFieldFilters="0">
  <location ref="A341:D347" firstHeaderRow="0" firstDataRow="1" firstDataCol="1"/>
  <pivotFields count="9">
    <pivotField dataField="1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umFmtId="166" showAll="0"/>
    <pivotField showAll="0"/>
    <pivotField dataField="1" showAll="0">
      <items count="284">
        <item x="239"/>
        <item x="186"/>
        <item x="255"/>
        <item x="108"/>
        <item x="26"/>
        <item x="194"/>
        <item x="265"/>
        <item x="30"/>
        <item x="101"/>
        <item x="192"/>
        <item x="28"/>
        <item x="173"/>
        <item x="219"/>
        <item x="156"/>
        <item x="41"/>
        <item x="51"/>
        <item x="262"/>
        <item x="104"/>
        <item x="86"/>
        <item x="238"/>
        <item x="233"/>
        <item x="169"/>
        <item x="40"/>
        <item x="241"/>
        <item x="226"/>
        <item x="65"/>
        <item x="48"/>
        <item x="49"/>
        <item x="152"/>
        <item x="268"/>
        <item x="129"/>
        <item x="31"/>
        <item x="134"/>
        <item x="180"/>
        <item x="22"/>
        <item x="178"/>
        <item x="175"/>
        <item x="92"/>
        <item x="97"/>
        <item x="183"/>
        <item x="118"/>
        <item x="68"/>
        <item x="193"/>
        <item x="237"/>
        <item x="200"/>
        <item x="141"/>
        <item x="81"/>
        <item x="221"/>
        <item x="95"/>
        <item x="196"/>
        <item x="42"/>
        <item x="185"/>
        <item x="119"/>
        <item x="60"/>
        <item x="52"/>
        <item x="213"/>
        <item x="190"/>
        <item x="29"/>
        <item x="130"/>
        <item x="116"/>
        <item x="258"/>
        <item x="261"/>
        <item x="280"/>
        <item x="99"/>
        <item x="202"/>
        <item x="153"/>
        <item x="79"/>
        <item x="210"/>
        <item x="11"/>
        <item x="209"/>
        <item x="87"/>
        <item x="44"/>
        <item x="174"/>
        <item x="45"/>
        <item x="89"/>
        <item x="145"/>
        <item x="230"/>
        <item x="179"/>
        <item x="171"/>
        <item x="243"/>
        <item x="181"/>
        <item x="205"/>
        <item x="176"/>
        <item x="170"/>
        <item x="128"/>
        <item x="260"/>
        <item x="224"/>
        <item x="131"/>
        <item x="8"/>
        <item x="281"/>
        <item x="105"/>
        <item x="216"/>
        <item x="160"/>
        <item x="249"/>
        <item x="232"/>
        <item x="73"/>
        <item x="14"/>
        <item x="269"/>
        <item x="63"/>
        <item x="34"/>
        <item x="201"/>
        <item x="132"/>
        <item x="198"/>
        <item x="279"/>
        <item x="66"/>
        <item x="117"/>
        <item x="188"/>
        <item x="78"/>
        <item x="35"/>
        <item x="113"/>
        <item x="189"/>
        <item x="114"/>
        <item x="110"/>
        <item x="121"/>
        <item x="56"/>
        <item x="263"/>
        <item x="235"/>
        <item x="207"/>
        <item x="199"/>
        <item x="282"/>
        <item x="259"/>
        <item x="234"/>
        <item x="59"/>
        <item x="83"/>
        <item x="62"/>
        <item x="17"/>
        <item x="248"/>
        <item x="20"/>
        <item x="57"/>
        <item x="227"/>
        <item x="127"/>
        <item x="102"/>
        <item x="154"/>
        <item x="18"/>
        <item x="75"/>
        <item x="184"/>
        <item x="162"/>
        <item x="47"/>
        <item x="107"/>
        <item x="158"/>
        <item x="120"/>
        <item x="126"/>
        <item x="1"/>
        <item x="222"/>
        <item x="163"/>
        <item x="218"/>
        <item x="256"/>
        <item x="168"/>
        <item x="61"/>
        <item x="64"/>
        <item x="19"/>
        <item x="277"/>
        <item x="80"/>
        <item x="246"/>
        <item x="106"/>
        <item x="125"/>
        <item x="157"/>
        <item x="182"/>
        <item x="13"/>
        <item x="91"/>
        <item x="32"/>
        <item x="150"/>
        <item x="242"/>
        <item x="276"/>
        <item x="206"/>
        <item x="115"/>
        <item x="82"/>
        <item x="177"/>
        <item x="69"/>
        <item x="244"/>
        <item x="220"/>
        <item x="211"/>
        <item x="197"/>
        <item x="161"/>
        <item x="139"/>
        <item x="187"/>
        <item x="21"/>
        <item x="159"/>
        <item x="195"/>
        <item x="4"/>
        <item x="38"/>
        <item x="85"/>
        <item x="0"/>
        <item x="136"/>
        <item x="124"/>
        <item x="43"/>
        <item x="16"/>
        <item x="274"/>
        <item x="272"/>
        <item x="72"/>
        <item x="264"/>
        <item x="231"/>
        <item x="25"/>
        <item x="217"/>
        <item x="93"/>
        <item x="122"/>
        <item x="252"/>
        <item x="266"/>
        <item x="257"/>
        <item x="100"/>
        <item x="33"/>
        <item x="146"/>
        <item x="208"/>
        <item x="70"/>
        <item x="2"/>
        <item x="172"/>
        <item x="148"/>
        <item x="251"/>
        <item x="74"/>
        <item x="50"/>
        <item x="253"/>
        <item x="53"/>
        <item x="240"/>
        <item x="191"/>
        <item x="149"/>
        <item x="225"/>
        <item x="135"/>
        <item x="164"/>
        <item x="46"/>
        <item x="144"/>
        <item x="270"/>
        <item x="112"/>
        <item x="76"/>
        <item x="55"/>
        <item x="15"/>
        <item x="140"/>
        <item x="138"/>
        <item x="71"/>
        <item x="98"/>
        <item x="142"/>
        <item x="143"/>
        <item x="223"/>
        <item x="88"/>
        <item x="24"/>
        <item x="58"/>
        <item x="228"/>
        <item x="278"/>
        <item x="137"/>
        <item x="54"/>
        <item x="229"/>
        <item x="37"/>
        <item x="151"/>
        <item x="5"/>
        <item x="111"/>
        <item x="6"/>
        <item x="39"/>
        <item x="165"/>
        <item x="214"/>
        <item x="103"/>
        <item x="94"/>
        <item x="23"/>
        <item x="84"/>
        <item x="167"/>
        <item x="212"/>
        <item x="254"/>
        <item x="271"/>
        <item x="245"/>
        <item x="90"/>
        <item x="166"/>
        <item x="3"/>
        <item x="203"/>
        <item x="77"/>
        <item x="236"/>
        <item x="273"/>
        <item x="247"/>
        <item x="215"/>
        <item x="9"/>
        <item x="27"/>
        <item x="123"/>
        <item x="12"/>
        <item x="147"/>
        <item x="155"/>
        <item x="7"/>
        <item x="250"/>
        <item x="67"/>
        <item x="267"/>
        <item x="109"/>
        <item x="204"/>
        <item x="96"/>
        <item x="36"/>
        <item x="133"/>
        <item x="10"/>
        <item x="275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_ID" fld="0" subtotal="count" baseField="0" baseItem="0"/>
    <dataField name="Sum of Monetary" fld="3" baseField="0" baseItem="0"/>
    <dataField name="Average of Monetary2" fld="3" subtotal="average" baseField="8" baseItem="0" numFmtId="168"/>
  </dataFields>
  <formats count="4">
    <format dxfId="325">
      <pivotArea type="all" dataOnly="0" outline="0" fieldPosition="0"/>
    </format>
    <format dxfId="324">
      <pivotArea outline="0" collapsedLevelsAreSubtotals="1" fieldPosition="0"/>
    </format>
    <format dxfId="323">
      <pivotArea dataOnly="0" labelOnly="1" outline="0" axis="axisValues" fieldPosition="0"/>
    </format>
    <format dxfId="322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3" cacheId="1" applyNumberFormats="0" applyBorderFormats="0" applyFontFormats="0" applyPatternFormats="0" applyAlignmentFormats="0" applyWidthHeightFormats="1" dataCaption="Values" updatedVersion="7" minRefreshableVersion="3" useAutoFormatting="1" createdVersion="5" indent="0" outline="1" outlineData="1" multipleFieldFilters="0">
  <location ref="A13:E19" firstHeaderRow="0" firstDataRow="1" firstDataCol="1"/>
  <pivotFields count="9">
    <pivotField dataField="1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umFmtId="166" showAll="0"/>
    <pivotField showAll="0"/>
    <pivotField dataField="1" showAll="0">
      <items count="284">
        <item x="239"/>
        <item x="186"/>
        <item x="255"/>
        <item x="108"/>
        <item x="26"/>
        <item x="194"/>
        <item x="265"/>
        <item x="30"/>
        <item x="101"/>
        <item x="192"/>
        <item x="28"/>
        <item x="173"/>
        <item x="219"/>
        <item x="156"/>
        <item x="41"/>
        <item x="51"/>
        <item x="262"/>
        <item x="104"/>
        <item x="86"/>
        <item x="238"/>
        <item x="233"/>
        <item x="169"/>
        <item x="40"/>
        <item x="241"/>
        <item x="226"/>
        <item x="65"/>
        <item x="48"/>
        <item x="49"/>
        <item x="152"/>
        <item x="268"/>
        <item x="129"/>
        <item x="31"/>
        <item x="134"/>
        <item x="180"/>
        <item x="22"/>
        <item x="178"/>
        <item x="175"/>
        <item x="92"/>
        <item x="97"/>
        <item x="183"/>
        <item x="118"/>
        <item x="68"/>
        <item x="193"/>
        <item x="237"/>
        <item x="200"/>
        <item x="141"/>
        <item x="81"/>
        <item x="221"/>
        <item x="95"/>
        <item x="196"/>
        <item x="42"/>
        <item x="185"/>
        <item x="119"/>
        <item x="60"/>
        <item x="52"/>
        <item x="213"/>
        <item x="190"/>
        <item x="29"/>
        <item x="130"/>
        <item x="116"/>
        <item x="258"/>
        <item x="261"/>
        <item x="280"/>
        <item x="99"/>
        <item x="202"/>
        <item x="153"/>
        <item x="79"/>
        <item x="210"/>
        <item x="11"/>
        <item x="209"/>
        <item x="87"/>
        <item x="44"/>
        <item x="174"/>
        <item x="45"/>
        <item x="89"/>
        <item x="145"/>
        <item x="230"/>
        <item x="179"/>
        <item x="171"/>
        <item x="243"/>
        <item x="181"/>
        <item x="205"/>
        <item x="176"/>
        <item x="170"/>
        <item x="128"/>
        <item x="260"/>
        <item x="224"/>
        <item x="131"/>
        <item x="8"/>
        <item x="281"/>
        <item x="105"/>
        <item x="216"/>
        <item x="160"/>
        <item x="249"/>
        <item x="232"/>
        <item x="73"/>
        <item x="14"/>
        <item x="269"/>
        <item x="63"/>
        <item x="34"/>
        <item x="201"/>
        <item x="132"/>
        <item x="198"/>
        <item x="279"/>
        <item x="66"/>
        <item x="117"/>
        <item x="188"/>
        <item x="78"/>
        <item x="35"/>
        <item x="113"/>
        <item x="189"/>
        <item x="114"/>
        <item x="110"/>
        <item x="121"/>
        <item x="56"/>
        <item x="263"/>
        <item x="235"/>
        <item x="207"/>
        <item x="199"/>
        <item x="282"/>
        <item x="259"/>
        <item x="234"/>
        <item x="59"/>
        <item x="83"/>
        <item x="62"/>
        <item x="17"/>
        <item x="248"/>
        <item x="20"/>
        <item x="57"/>
        <item x="227"/>
        <item x="127"/>
        <item x="102"/>
        <item x="154"/>
        <item x="18"/>
        <item x="75"/>
        <item x="184"/>
        <item x="162"/>
        <item x="47"/>
        <item x="107"/>
        <item x="158"/>
        <item x="120"/>
        <item x="126"/>
        <item x="1"/>
        <item x="222"/>
        <item x="163"/>
        <item x="218"/>
        <item x="256"/>
        <item x="168"/>
        <item x="61"/>
        <item x="64"/>
        <item x="19"/>
        <item x="277"/>
        <item x="80"/>
        <item x="246"/>
        <item x="106"/>
        <item x="125"/>
        <item x="157"/>
        <item x="182"/>
        <item x="13"/>
        <item x="91"/>
        <item x="32"/>
        <item x="150"/>
        <item x="242"/>
        <item x="276"/>
        <item x="206"/>
        <item x="115"/>
        <item x="82"/>
        <item x="177"/>
        <item x="69"/>
        <item x="244"/>
        <item x="220"/>
        <item x="211"/>
        <item x="197"/>
        <item x="161"/>
        <item x="139"/>
        <item x="187"/>
        <item x="21"/>
        <item x="159"/>
        <item x="195"/>
        <item x="4"/>
        <item x="38"/>
        <item x="85"/>
        <item x="0"/>
        <item x="136"/>
        <item x="124"/>
        <item x="43"/>
        <item x="16"/>
        <item x="274"/>
        <item x="272"/>
        <item x="72"/>
        <item x="264"/>
        <item x="231"/>
        <item x="25"/>
        <item x="217"/>
        <item x="93"/>
        <item x="122"/>
        <item x="252"/>
        <item x="266"/>
        <item x="257"/>
        <item x="100"/>
        <item x="33"/>
        <item x="146"/>
        <item x="208"/>
        <item x="70"/>
        <item x="2"/>
        <item x="172"/>
        <item x="148"/>
        <item x="251"/>
        <item x="74"/>
        <item x="50"/>
        <item x="253"/>
        <item x="53"/>
        <item x="240"/>
        <item x="191"/>
        <item x="149"/>
        <item x="225"/>
        <item x="135"/>
        <item x="164"/>
        <item x="46"/>
        <item x="144"/>
        <item x="270"/>
        <item x="112"/>
        <item x="76"/>
        <item x="55"/>
        <item x="15"/>
        <item x="140"/>
        <item x="138"/>
        <item x="71"/>
        <item x="98"/>
        <item x="142"/>
        <item x="143"/>
        <item x="223"/>
        <item x="88"/>
        <item x="24"/>
        <item x="58"/>
        <item x="228"/>
        <item x="278"/>
        <item x="137"/>
        <item x="54"/>
        <item x="229"/>
        <item x="37"/>
        <item x="151"/>
        <item x="5"/>
        <item x="111"/>
        <item x="6"/>
        <item x="39"/>
        <item x="165"/>
        <item x="214"/>
        <item x="103"/>
        <item x="94"/>
        <item x="23"/>
        <item x="84"/>
        <item x="167"/>
        <item x="212"/>
        <item x="254"/>
        <item x="271"/>
        <item x="245"/>
        <item x="90"/>
        <item x="166"/>
        <item x="3"/>
        <item x="203"/>
        <item x="77"/>
        <item x="236"/>
        <item x="273"/>
        <item x="247"/>
        <item x="215"/>
        <item x="9"/>
        <item x="27"/>
        <item x="123"/>
        <item x="12"/>
        <item x="147"/>
        <item x="155"/>
        <item x="7"/>
        <item x="250"/>
        <item x="67"/>
        <item x="267"/>
        <item x="109"/>
        <item x="204"/>
        <item x="96"/>
        <item x="36"/>
        <item x="133"/>
        <item x="10"/>
        <item x="275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ustomers" fld="0" subtotal="count" baseField="0" baseItem="0"/>
    <dataField name="% Of Total Customers" fld="0" subtotal="count" showDataAs="percentOfTotal" baseField="0" baseItem="0" numFmtId="10"/>
    <dataField name="Sum of Monetary" fld="3" baseField="0" baseItem="0"/>
    <dataField name="% Of Total Revenue" fld="3" showDataAs="percentOfTotal" baseField="0" baseItem="0" numFmtId="10"/>
  </dataFields>
  <formats count="12">
    <format dxfId="337">
      <pivotArea type="all" dataOnly="0" outline="0" fieldPosition="0"/>
    </format>
    <format dxfId="33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33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3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33">
      <pivotArea dataOnly="0" labelOnly="1" fieldPosition="0">
        <references count="1">
          <reference field="4294967294" count="1">
            <x v="2"/>
          </reference>
        </references>
      </pivotArea>
    </format>
    <format dxfId="33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field="8" type="button" dataOnly="0" labelOnly="1" outline="0" axis="axisRow" fieldPosition="0"/>
    </format>
    <format dxfId="328">
      <pivotArea dataOnly="0" labelOnly="1" fieldPosition="0">
        <references count="1">
          <reference field="8" count="0"/>
        </references>
      </pivotArea>
    </format>
    <format dxfId="327">
      <pivotArea dataOnly="0" labelOnly="1" grandRow="1" outline="0" fieldPosition="0"/>
    </format>
    <format dxfId="3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37DDA-5FDB-4450-A4B0-E06E3344A945}" name="PivotTable5" cacheId="1" applyNumberFormats="0" applyBorderFormats="0" applyFontFormats="0" applyPatternFormats="0" applyAlignmentFormats="0" applyWidthHeightFormats="1" dataCaption="Values" updatedVersion="7" minRefreshableVersion="3" useAutoFormatting="1" createdVersion="5" indent="0" outline="1" outlineData="1" multipleFieldFilters="0">
  <location ref="A329:E335" firstHeaderRow="0" firstDataRow="1" firstDataCol="1"/>
  <pivotFields count="9">
    <pivotField dataField="1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umFmtId="166" showAll="0"/>
    <pivotField dataField="1" showAll="0"/>
    <pivotField dataField="1" showAll="0">
      <items count="284">
        <item x="239"/>
        <item x="186"/>
        <item x="255"/>
        <item x="108"/>
        <item x="26"/>
        <item x="194"/>
        <item x="265"/>
        <item x="30"/>
        <item x="101"/>
        <item x="192"/>
        <item x="28"/>
        <item x="173"/>
        <item x="219"/>
        <item x="156"/>
        <item x="41"/>
        <item x="51"/>
        <item x="262"/>
        <item x="104"/>
        <item x="86"/>
        <item x="238"/>
        <item x="233"/>
        <item x="169"/>
        <item x="40"/>
        <item x="241"/>
        <item x="226"/>
        <item x="65"/>
        <item x="48"/>
        <item x="49"/>
        <item x="152"/>
        <item x="268"/>
        <item x="129"/>
        <item x="31"/>
        <item x="134"/>
        <item x="180"/>
        <item x="22"/>
        <item x="178"/>
        <item x="175"/>
        <item x="92"/>
        <item x="97"/>
        <item x="183"/>
        <item x="118"/>
        <item x="68"/>
        <item x="193"/>
        <item x="237"/>
        <item x="200"/>
        <item x="141"/>
        <item x="81"/>
        <item x="221"/>
        <item x="95"/>
        <item x="196"/>
        <item x="42"/>
        <item x="185"/>
        <item x="119"/>
        <item x="60"/>
        <item x="52"/>
        <item x="213"/>
        <item x="190"/>
        <item x="29"/>
        <item x="130"/>
        <item x="116"/>
        <item x="258"/>
        <item x="261"/>
        <item x="280"/>
        <item x="99"/>
        <item x="202"/>
        <item x="153"/>
        <item x="79"/>
        <item x="210"/>
        <item x="11"/>
        <item x="209"/>
        <item x="87"/>
        <item x="44"/>
        <item x="174"/>
        <item x="45"/>
        <item x="89"/>
        <item x="145"/>
        <item x="230"/>
        <item x="179"/>
        <item x="171"/>
        <item x="243"/>
        <item x="181"/>
        <item x="205"/>
        <item x="176"/>
        <item x="170"/>
        <item x="128"/>
        <item x="260"/>
        <item x="224"/>
        <item x="131"/>
        <item x="8"/>
        <item x="281"/>
        <item x="105"/>
        <item x="216"/>
        <item x="160"/>
        <item x="249"/>
        <item x="232"/>
        <item x="73"/>
        <item x="14"/>
        <item x="269"/>
        <item x="63"/>
        <item x="34"/>
        <item x="201"/>
        <item x="132"/>
        <item x="198"/>
        <item x="279"/>
        <item x="66"/>
        <item x="117"/>
        <item x="188"/>
        <item x="78"/>
        <item x="35"/>
        <item x="113"/>
        <item x="189"/>
        <item x="114"/>
        <item x="110"/>
        <item x="121"/>
        <item x="56"/>
        <item x="263"/>
        <item x="235"/>
        <item x="207"/>
        <item x="199"/>
        <item x="282"/>
        <item x="259"/>
        <item x="234"/>
        <item x="59"/>
        <item x="83"/>
        <item x="62"/>
        <item x="17"/>
        <item x="248"/>
        <item x="20"/>
        <item x="57"/>
        <item x="227"/>
        <item x="127"/>
        <item x="102"/>
        <item x="154"/>
        <item x="18"/>
        <item x="75"/>
        <item x="184"/>
        <item x="162"/>
        <item x="47"/>
        <item x="107"/>
        <item x="158"/>
        <item x="120"/>
        <item x="126"/>
        <item x="1"/>
        <item x="222"/>
        <item x="163"/>
        <item x="218"/>
        <item x="256"/>
        <item x="168"/>
        <item x="61"/>
        <item x="64"/>
        <item x="19"/>
        <item x="277"/>
        <item x="80"/>
        <item x="246"/>
        <item x="106"/>
        <item x="125"/>
        <item x="157"/>
        <item x="182"/>
        <item x="13"/>
        <item x="91"/>
        <item x="32"/>
        <item x="150"/>
        <item x="242"/>
        <item x="276"/>
        <item x="206"/>
        <item x="115"/>
        <item x="82"/>
        <item x="177"/>
        <item x="69"/>
        <item x="244"/>
        <item x="220"/>
        <item x="211"/>
        <item x="197"/>
        <item x="161"/>
        <item x="139"/>
        <item x="187"/>
        <item x="21"/>
        <item x="159"/>
        <item x="195"/>
        <item x="4"/>
        <item x="38"/>
        <item x="85"/>
        <item x="0"/>
        <item x="136"/>
        <item x="124"/>
        <item x="43"/>
        <item x="16"/>
        <item x="274"/>
        <item x="272"/>
        <item x="72"/>
        <item x="264"/>
        <item x="231"/>
        <item x="25"/>
        <item x="217"/>
        <item x="93"/>
        <item x="122"/>
        <item x="252"/>
        <item x="266"/>
        <item x="257"/>
        <item x="100"/>
        <item x="33"/>
        <item x="146"/>
        <item x="208"/>
        <item x="70"/>
        <item x="2"/>
        <item x="172"/>
        <item x="148"/>
        <item x="251"/>
        <item x="74"/>
        <item x="50"/>
        <item x="253"/>
        <item x="53"/>
        <item x="240"/>
        <item x="191"/>
        <item x="149"/>
        <item x="225"/>
        <item x="135"/>
        <item x="164"/>
        <item x="46"/>
        <item x="144"/>
        <item x="270"/>
        <item x="112"/>
        <item x="76"/>
        <item x="55"/>
        <item x="15"/>
        <item x="140"/>
        <item x="138"/>
        <item x="71"/>
        <item x="98"/>
        <item x="142"/>
        <item x="143"/>
        <item x="223"/>
        <item x="88"/>
        <item x="24"/>
        <item x="58"/>
        <item x="228"/>
        <item x="278"/>
        <item x="137"/>
        <item x="54"/>
        <item x="229"/>
        <item x="37"/>
        <item x="151"/>
        <item x="5"/>
        <item x="111"/>
        <item x="6"/>
        <item x="39"/>
        <item x="165"/>
        <item x="214"/>
        <item x="103"/>
        <item x="94"/>
        <item x="23"/>
        <item x="84"/>
        <item x="167"/>
        <item x="212"/>
        <item x="254"/>
        <item x="271"/>
        <item x="245"/>
        <item x="90"/>
        <item x="166"/>
        <item x="3"/>
        <item x="203"/>
        <item x="77"/>
        <item x="236"/>
        <item x="273"/>
        <item x="247"/>
        <item x="215"/>
        <item x="9"/>
        <item x="27"/>
        <item x="123"/>
        <item x="12"/>
        <item x="147"/>
        <item x="155"/>
        <item x="7"/>
        <item x="250"/>
        <item x="67"/>
        <item x="267"/>
        <item x="109"/>
        <item x="204"/>
        <item x="96"/>
        <item x="36"/>
        <item x="133"/>
        <item x="10"/>
        <item x="275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ustomer_ID" fld="0" subtotal="count" baseField="0" baseItem="0"/>
    <dataField name="Average of Frequency" fld="2" subtotal="average" baseField="8" baseItem="0"/>
    <dataField name="Sum of Frequency2" fld="2" baseField="0" baseItem="0"/>
    <dataField name="Sum of Monetary" fld="3" showDataAs="percentOfTotal" baseField="8" baseItem="0" numFmtId="10"/>
  </dataFields>
  <formats count="4">
    <format dxfId="341">
      <pivotArea type="all" dataOnly="0" outline="0" fieldPosition="0"/>
    </format>
    <format dxfId="340">
      <pivotArea outline="0" collapsedLevelsAreSubtotals="1" fieldPosition="0"/>
    </format>
    <format dxfId="339">
      <pivotArea dataOnly="0" labelOnly="1" outline="0" axis="axisValues" fieldPosition="0"/>
    </format>
    <format dxfId="338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FF4CE-A64B-4335-96FF-C0DEBA976447}" name="PivotTable1" cacheId="1" applyNumberFormats="0" applyBorderFormats="0" applyFontFormats="0" applyPatternFormats="0" applyAlignmentFormats="0" applyWidthHeightFormats="1" dataCaption="Values" updatedVersion="7" minRefreshableVersion="3" useAutoFormatting="1" createdVersion="5" indent="0" compact="0" outline="1" outlineData="1" compactData="0" multipleFieldFilters="0">
  <location ref="A317:B323" firstHeaderRow="1" firstDataRow="1" firstDataCol="1"/>
  <pivotFields count="9">
    <pivotField compact="0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dataField="1" compact="0" numFmtId="166" showAll="0"/>
    <pivotField compact="0" showAll="0"/>
    <pivotField compact="0" showAll="0">
      <items count="284">
        <item x="239"/>
        <item x="186"/>
        <item x="255"/>
        <item x="108"/>
        <item x="26"/>
        <item x="194"/>
        <item x="265"/>
        <item x="30"/>
        <item x="101"/>
        <item x="192"/>
        <item x="28"/>
        <item x="173"/>
        <item x="219"/>
        <item x="156"/>
        <item x="41"/>
        <item x="51"/>
        <item x="262"/>
        <item x="104"/>
        <item x="86"/>
        <item x="238"/>
        <item x="233"/>
        <item x="169"/>
        <item x="40"/>
        <item x="241"/>
        <item x="226"/>
        <item x="65"/>
        <item x="48"/>
        <item x="49"/>
        <item x="152"/>
        <item x="268"/>
        <item x="129"/>
        <item x="31"/>
        <item x="134"/>
        <item x="180"/>
        <item x="22"/>
        <item x="178"/>
        <item x="175"/>
        <item x="92"/>
        <item x="97"/>
        <item x="183"/>
        <item x="118"/>
        <item x="68"/>
        <item x="193"/>
        <item x="237"/>
        <item x="200"/>
        <item x="141"/>
        <item x="81"/>
        <item x="221"/>
        <item x="95"/>
        <item x="196"/>
        <item x="42"/>
        <item x="185"/>
        <item x="119"/>
        <item x="60"/>
        <item x="52"/>
        <item x="213"/>
        <item x="190"/>
        <item x="29"/>
        <item x="130"/>
        <item x="116"/>
        <item x="258"/>
        <item x="261"/>
        <item x="280"/>
        <item x="99"/>
        <item x="202"/>
        <item x="153"/>
        <item x="79"/>
        <item x="210"/>
        <item x="11"/>
        <item x="209"/>
        <item x="87"/>
        <item x="44"/>
        <item x="174"/>
        <item x="45"/>
        <item x="89"/>
        <item x="145"/>
        <item x="230"/>
        <item x="179"/>
        <item x="171"/>
        <item x="243"/>
        <item x="181"/>
        <item x="205"/>
        <item x="176"/>
        <item x="170"/>
        <item x="128"/>
        <item x="260"/>
        <item x="224"/>
        <item x="131"/>
        <item x="8"/>
        <item x="281"/>
        <item x="105"/>
        <item x="216"/>
        <item x="160"/>
        <item x="249"/>
        <item x="232"/>
        <item x="73"/>
        <item x="14"/>
        <item x="269"/>
        <item x="63"/>
        <item x="34"/>
        <item x="201"/>
        <item x="132"/>
        <item x="198"/>
        <item x="279"/>
        <item x="66"/>
        <item x="117"/>
        <item x="188"/>
        <item x="78"/>
        <item x="35"/>
        <item x="113"/>
        <item x="189"/>
        <item x="114"/>
        <item x="110"/>
        <item x="121"/>
        <item x="56"/>
        <item x="263"/>
        <item x="235"/>
        <item x="207"/>
        <item x="199"/>
        <item x="282"/>
        <item x="259"/>
        <item x="234"/>
        <item x="59"/>
        <item x="83"/>
        <item x="62"/>
        <item x="17"/>
        <item x="248"/>
        <item x="20"/>
        <item x="57"/>
        <item x="227"/>
        <item x="127"/>
        <item x="102"/>
        <item x="154"/>
        <item x="18"/>
        <item x="75"/>
        <item x="184"/>
        <item x="162"/>
        <item x="47"/>
        <item x="107"/>
        <item x="158"/>
        <item x="120"/>
        <item x="126"/>
        <item x="1"/>
        <item x="222"/>
        <item x="163"/>
        <item x="218"/>
        <item x="256"/>
        <item x="168"/>
        <item x="61"/>
        <item x="64"/>
        <item x="19"/>
        <item x="277"/>
        <item x="80"/>
        <item x="246"/>
        <item x="106"/>
        <item x="125"/>
        <item x="157"/>
        <item x="182"/>
        <item x="13"/>
        <item x="91"/>
        <item x="32"/>
        <item x="150"/>
        <item x="242"/>
        <item x="276"/>
        <item x="206"/>
        <item x="115"/>
        <item x="82"/>
        <item x="177"/>
        <item x="69"/>
        <item x="244"/>
        <item x="220"/>
        <item x="211"/>
        <item x="197"/>
        <item x="161"/>
        <item x="139"/>
        <item x="187"/>
        <item x="21"/>
        <item x="159"/>
        <item x="195"/>
        <item x="4"/>
        <item x="38"/>
        <item x="85"/>
        <item x="0"/>
        <item x="136"/>
        <item x="124"/>
        <item x="43"/>
        <item x="16"/>
        <item x="274"/>
        <item x="272"/>
        <item x="72"/>
        <item x="264"/>
        <item x="231"/>
        <item x="25"/>
        <item x="217"/>
        <item x="93"/>
        <item x="122"/>
        <item x="252"/>
        <item x="266"/>
        <item x="257"/>
        <item x="100"/>
        <item x="33"/>
        <item x="146"/>
        <item x="208"/>
        <item x="70"/>
        <item x="2"/>
        <item x="172"/>
        <item x="148"/>
        <item x="251"/>
        <item x="74"/>
        <item x="50"/>
        <item x="253"/>
        <item x="53"/>
        <item x="240"/>
        <item x="191"/>
        <item x="149"/>
        <item x="225"/>
        <item x="135"/>
        <item x="164"/>
        <item x="46"/>
        <item x="144"/>
        <item x="270"/>
        <item x="112"/>
        <item x="76"/>
        <item x="55"/>
        <item x="15"/>
        <item x="140"/>
        <item x="138"/>
        <item x="71"/>
        <item x="98"/>
        <item x="142"/>
        <item x="143"/>
        <item x="223"/>
        <item x="88"/>
        <item x="24"/>
        <item x="58"/>
        <item x="228"/>
        <item x="278"/>
        <item x="137"/>
        <item x="54"/>
        <item x="229"/>
        <item x="37"/>
        <item x="151"/>
        <item x="5"/>
        <item x="111"/>
        <item x="6"/>
        <item x="39"/>
        <item x="165"/>
        <item x="214"/>
        <item x="103"/>
        <item x="94"/>
        <item x="23"/>
        <item x="84"/>
        <item x="167"/>
        <item x="212"/>
        <item x="254"/>
        <item x="271"/>
        <item x="245"/>
        <item x="90"/>
        <item x="166"/>
        <item x="3"/>
        <item x="203"/>
        <item x="77"/>
        <item x="236"/>
        <item x="273"/>
        <item x="247"/>
        <item x="215"/>
        <item x="9"/>
        <item x="27"/>
        <item x="123"/>
        <item x="12"/>
        <item x="147"/>
        <item x="155"/>
        <item x="7"/>
        <item x="250"/>
        <item x="67"/>
        <item x="267"/>
        <item x="109"/>
        <item x="204"/>
        <item x="96"/>
        <item x="36"/>
        <item x="133"/>
        <item x="10"/>
        <item x="275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cency" fld="1" subtotal="average" baseField="8" baseItem="0" numFmtId="1"/>
  </dataFields>
  <formats count="3">
    <format dxfId="344">
      <pivotArea type="all" dataOnly="0" outline="0" fieldPosition="0"/>
    </format>
    <format dxfId="343">
      <pivotArea outline="0" collapsedLevelsAreSubtotals="1" fieldPosition="0"/>
    </format>
    <format dxfId="342">
      <pivotArea dataOnly="0" labelOnly="1" outline="0" axis="axisValues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opLeftCell="A7" zoomScale="110" zoomScaleNormal="110" workbookViewId="0">
      <selection activeCell="F6" sqref="F6"/>
    </sheetView>
  </sheetViews>
  <sheetFormatPr defaultColWidth="9.81640625" defaultRowHeight="14"/>
  <cols>
    <col min="1" max="1" width="14.81640625" style="1" customWidth="1"/>
    <col min="2" max="2" width="12.36328125" style="1" customWidth="1"/>
    <col min="3" max="3" width="11.54296875" style="10" customWidth="1"/>
    <col min="4" max="4" width="14.81640625" style="1" customWidth="1"/>
    <col min="5" max="5" width="11.6328125" style="1" customWidth="1"/>
    <col min="6" max="16384" width="9.81640625" style="1"/>
  </cols>
  <sheetData>
    <row r="1" spans="1: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0">
        <v>46038.409126567902</v>
      </c>
      <c r="D2" s="1" t="s">
        <v>7</v>
      </c>
      <c r="E2" s="1">
        <v>45.41</v>
      </c>
    </row>
    <row r="3" spans="1:5">
      <c r="A3" s="1" t="s">
        <v>8</v>
      </c>
      <c r="B3" s="1" t="s">
        <v>9</v>
      </c>
      <c r="C3" s="10">
        <v>46284.409126567902</v>
      </c>
      <c r="D3" s="1" t="s">
        <v>10</v>
      </c>
      <c r="E3" s="1">
        <v>13.71</v>
      </c>
    </row>
    <row r="4" spans="1:5">
      <c r="A4" s="1" t="s">
        <v>11</v>
      </c>
      <c r="B4" s="1" t="s">
        <v>12</v>
      </c>
      <c r="C4" s="10">
        <v>46206.409126567902</v>
      </c>
      <c r="D4" s="1" t="s">
        <v>13</v>
      </c>
      <c r="E4" s="1">
        <v>11.66</v>
      </c>
    </row>
    <row r="5" spans="1:5">
      <c r="A5" s="1" t="s">
        <v>14</v>
      </c>
      <c r="B5" s="1" t="s">
        <v>15</v>
      </c>
      <c r="C5" s="10">
        <v>46042.409126567902</v>
      </c>
      <c r="D5" s="1" t="s">
        <v>16</v>
      </c>
      <c r="E5" s="1">
        <v>9.07</v>
      </c>
    </row>
    <row r="6" spans="1:5">
      <c r="A6" s="1" t="s">
        <v>17</v>
      </c>
      <c r="B6" s="1" t="s">
        <v>18</v>
      </c>
      <c r="C6" s="10">
        <v>46007.409126567902</v>
      </c>
      <c r="D6" s="1" t="s">
        <v>16</v>
      </c>
      <c r="E6" s="1">
        <v>11.16</v>
      </c>
    </row>
    <row r="7" spans="1:5">
      <c r="A7" s="1" t="s">
        <v>19</v>
      </c>
      <c r="B7" s="1" t="s">
        <v>20</v>
      </c>
      <c r="C7" s="10">
        <v>46124.409126567902</v>
      </c>
      <c r="D7" s="1" t="s">
        <v>10</v>
      </c>
      <c r="E7" s="1">
        <v>15.44</v>
      </c>
    </row>
    <row r="8" spans="1:5">
      <c r="A8" s="1" t="s">
        <v>21</v>
      </c>
      <c r="B8" s="1" t="s">
        <v>22</v>
      </c>
      <c r="C8" s="10">
        <v>45956.409126567902</v>
      </c>
      <c r="D8" s="1" t="s">
        <v>13</v>
      </c>
      <c r="E8" s="1">
        <v>12.76</v>
      </c>
    </row>
    <row r="9" spans="1:5">
      <c r="A9" s="1" t="s">
        <v>23</v>
      </c>
      <c r="B9" s="1" t="s">
        <v>24</v>
      </c>
      <c r="C9" s="10">
        <v>46038.409126567902</v>
      </c>
      <c r="D9" s="1" t="s">
        <v>10</v>
      </c>
      <c r="E9" s="1">
        <v>13.51</v>
      </c>
    </row>
    <row r="10" spans="1:5">
      <c r="A10" s="1" t="s">
        <v>25</v>
      </c>
      <c r="B10" s="1" t="s">
        <v>26</v>
      </c>
      <c r="C10" s="10">
        <v>46057.409126567902</v>
      </c>
      <c r="D10" s="1" t="s">
        <v>7</v>
      </c>
      <c r="E10" s="1">
        <v>35.520000000000003</v>
      </c>
    </row>
    <row r="11" spans="1:5">
      <c r="A11" s="1" t="s">
        <v>27</v>
      </c>
      <c r="B11" s="1" t="s">
        <v>28</v>
      </c>
      <c r="C11" s="10">
        <v>46150.409126567902</v>
      </c>
      <c r="D11" s="1" t="s">
        <v>29</v>
      </c>
      <c r="E11" s="1">
        <v>24.88</v>
      </c>
    </row>
    <row r="12" spans="1:5">
      <c r="A12" s="1" t="s">
        <v>30</v>
      </c>
      <c r="B12" s="1" t="s">
        <v>31</v>
      </c>
      <c r="C12" s="10">
        <v>46266.409126567902</v>
      </c>
      <c r="D12" s="1" t="s">
        <v>16</v>
      </c>
      <c r="E12" s="1">
        <v>10.95</v>
      </c>
    </row>
    <row r="13" spans="1:5">
      <c r="A13" s="1" t="s">
        <v>32</v>
      </c>
      <c r="B13" s="1" t="s">
        <v>33</v>
      </c>
      <c r="C13" s="10">
        <v>46023.409126567902</v>
      </c>
      <c r="D13" s="1" t="s">
        <v>7</v>
      </c>
      <c r="E13" s="1">
        <v>40.4</v>
      </c>
    </row>
    <row r="14" spans="1:5">
      <c r="A14" s="1" t="s">
        <v>34</v>
      </c>
      <c r="B14" s="1" t="s">
        <v>35</v>
      </c>
      <c r="C14" s="10">
        <v>46035.409126567902</v>
      </c>
      <c r="D14" s="1" t="s">
        <v>29</v>
      </c>
      <c r="E14" s="1">
        <v>20.329999999999998</v>
      </c>
    </row>
    <row r="15" spans="1:5">
      <c r="A15" s="1" t="s">
        <v>36</v>
      </c>
      <c r="B15" s="1" t="s">
        <v>37</v>
      </c>
      <c r="C15" s="10">
        <v>46295.409126567902</v>
      </c>
      <c r="D15" s="1" t="s">
        <v>7</v>
      </c>
      <c r="E15" s="1">
        <v>45.9</v>
      </c>
    </row>
    <row r="16" spans="1:5">
      <c r="A16" s="1" t="s">
        <v>38</v>
      </c>
      <c r="B16" s="1" t="s">
        <v>39</v>
      </c>
      <c r="C16" s="10">
        <v>46087.409126567902</v>
      </c>
      <c r="D16" s="1" t="s">
        <v>13</v>
      </c>
      <c r="E16" s="1">
        <v>9.91</v>
      </c>
    </row>
    <row r="17" spans="1:5">
      <c r="A17" s="1" t="s">
        <v>40</v>
      </c>
      <c r="B17" s="1" t="s">
        <v>41</v>
      </c>
      <c r="C17" s="10">
        <v>46066.409126567902</v>
      </c>
      <c r="D17" s="1" t="s">
        <v>16</v>
      </c>
      <c r="E17" s="1">
        <v>11.82</v>
      </c>
    </row>
    <row r="18" spans="1:5">
      <c r="A18" s="1" t="s">
        <v>42</v>
      </c>
      <c r="B18" s="1" t="s">
        <v>43</v>
      </c>
      <c r="C18" s="10">
        <v>46085.409126567902</v>
      </c>
      <c r="D18" s="1" t="s">
        <v>10</v>
      </c>
      <c r="E18" s="1">
        <v>12.15</v>
      </c>
    </row>
    <row r="19" spans="1:5">
      <c r="A19" s="1" t="s">
        <v>44</v>
      </c>
      <c r="B19" s="1" t="s">
        <v>45</v>
      </c>
      <c r="C19" s="10">
        <v>46244.409126567902</v>
      </c>
      <c r="D19" s="1" t="s">
        <v>10</v>
      </c>
      <c r="E19" s="1">
        <v>16.170000000000002</v>
      </c>
    </row>
    <row r="20" spans="1:5">
      <c r="A20" s="1" t="s">
        <v>46</v>
      </c>
      <c r="B20" s="1" t="s">
        <v>47</v>
      </c>
      <c r="C20" s="10">
        <v>46193.409126567902</v>
      </c>
      <c r="D20" s="1" t="s">
        <v>29</v>
      </c>
      <c r="E20" s="1">
        <v>20.82</v>
      </c>
    </row>
    <row r="21" spans="1:5">
      <c r="A21" s="1" t="s">
        <v>48</v>
      </c>
      <c r="B21" s="1" t="s">
        <v>49</v>
      </c>
      <c r="C21" s="10">
        <v>46279.409126567902</v>
      </c>
      <c r="D21" s="1" t="s">
        <v>50</v>
      </c>
      <c r="E21" s="1">
        <v>5.82</v>
      </c>
    </row>
    <row r="22" spans="1:5">
      <c r="A22" s="1" t="s">
        <v>51</v>
      </c>
      <c r="B22" s="1" t="s">
        <v>52</v>
      </c>
      <c r="C22" s="10">
        <v>46229.409126567902</v>
      </c>
      <c r="D22" s="1" t="s">
        <v>13</v>
      </c>
      <c r="E22" s="1">
        <v>11.83</v>
      </c>
    </row>
    <row r="23" spans="1:5">
      <c r="A23" s="1" t="s">
        <v>53</v>
      </c>
      <c r="B23" s="1" t="s">
        <v>54</v>
      </c>
      <c r="C23" s="10">
        <v>46127.409126567902</v>
      </c>
      <c r="D23" s="1" t="s">
        <v>29</v>
      </c>
      <c r="E23" s="1">
        <v>21.38</v>
      </c>
    </row>
    <row r="24" spans="1:5">
      <c r="A24" s="1" t="s">
        <v>55</v>
      </c>
      <c r="B24" s="1" t="s">
        <v>56</v>
      </c>
      <c r="C24" s="10">
        <v>46212.409126567902</v>
      </c>
      <c r="D24" s="1" t="s">
        <v>50</v>
      </c>
      <c r="E24" s="1">
        <v>4.68</v>
      </c>
    </row>
    <row r="25" spans="1:5">
      <c r="A25" s="1" t="s">
        <v>57</v>
      </c>
      <c r="B25" s="1" t="s">
        <v>58</v>
      </c>
      <c r="C25" s="10">
        <v>46096.409126567902</v>
      </c>
      <c r="D25" s="1" t="s">
        <v>7</v>
      </c>
      <c r="E25" s="1">
        <v>34.64</v>
      </c>
    </row>
    <row r="26" spans="1:5">
      <c r="A26" s="1" t="s">
        <v>59</v>
      </c>
      <c r="B26" s="1" t="s">
        <v>60</v>
      </c>
      <c r="C26" s="10">
        <v>46249.409126567902</v>
      </c>
      <c r="D26" s="1" t="s">
        <v>13</v>
      </c>
      <c r="E26" s="1">
        <v>10.42</v>
      </c>
    </row>
    <row r="27" spans="1:5">
      <c r="A27" s="1" t="s">
        <v>61</v>
      </c>
      <c r="B27" s="1" t="s">
        <v>62</v>
      </c>
      <c r="C27" s="10">
        <v>45957.409126567902</v>
      </c>
      <c r="D27" s="1" t="s">
        <v>7</v>
      </c>
      <c r="E27" s="1">
        <v>47.17</v>
      </c>
    </row>
    <row r="28" spans="1:5">
      <c r="A28" s="1" t="s">
        <v>63</v>
      </c>
      <c r="B28" s="1" t="s">
        <v>64</v>
      </c>
      <c r="C28" s="10">
        <v>46188.409126567902</v>
      </c>
      <c r="D28" s="1" t="s">
        <v>16</v>
      </c>
      <c r="E28" s="1">
        <v>9.7799999999999994</v>
      </c>
    </row>
    <row r="29" spans="1:5">
      <c r="A29" s="1" t="s">
        <v>65</v>
      </c>
      <c r="B29" s="1" t="s">
        <v>66</v>
      </c>
      <c r="C29" s="10">
        <v>46171.409126567902</v>
      </c>
      <c r="D29" s="1" t="s">
        <v>13</v>
      </c>
      <c r="E29" s="1">
        <v>13.39</v>
      </c>
    </row>
    <row r="30" spans="1:5">
      <c r="A30" s="1" t="s">
        <v>67</v>
      </c>
      <c r="B30" s="1" t="s">
        <v>68</v>
      </c>
      <c r="C30" s="10">
        <v>46280.409126567902</v>
      </c>
      <c r="D30" s="1" t="s">
        <v>50</v>
      </c>
      <c r="E30" s="1">
        <v>5.28</v>
      </c>
    </row>
    <row r="31" spans="1:5">
      <c r="A31" s="1" t="s">
        <v>69</v>
      </c>
      <c r="B31" s="1" t="s">
        <v>70</v>
      </c>
      <c r="C31" s="10">
        <v>45984.409126567902</v>
      </c>
      <c r="D31" s="1" t="s">
        <v>16</v>
      </c>
      <c r="E31" s="1">
        <v>10.71</v>
      </c>
    </row>
    <row r="32" spans="1:5">
      <c r="A32" s="1" t="s">
        <v>71</v>
      </c>
      <c r="B32" s="1" t="s">
        <v>72</v>
      </c>
      <c r="C32" s="10">
        <v>45994.409126567902</v>
      </c>
      <c r="D32" s="1" t="s">
        <v>10</v>
      </c>
      <c r="E32" s="1">
        <v>12.79</v>
      </c>
    </row>
    <row r="33" spans="1:5">
      <c r="A33" s="1" t="s">
        <v>73</v>
      </c>
      <c r="B33" s="1" t="s">
        <v>74</v>
      </c>
      <c r="C33" s="10">
        <v>46105.409126567902</v>
      </c>
      <c r="D33" s="1" t="s">
        <v>50</v>
      </c>
      <c r="E33" s="1">
        <v>4.47</v>
      </c>
    </row>
    <row r="34" spans="1:5">
      <c r="A34" s="1" t="s">
        <v>75</v>
      </c>
      <c r="B34" s="1" t="s">
        <v>76</v>
      </c>
      <c r="C34" s="10">
        <v>46123.409126567902</v>
      </c>
      <c r="D34" s="1" t="s">
        <v>29</v>
      </c>
      <c r="E34" s="1">
        <v>27.87</v>
      </c>
    </row>
    <row r="35" spans="1:5">
      <c r="A35" s="1" t="s">
        <v>77</v>
      </c>
      <c r="B35" s="1" t="s">
        <v>78</v>
      </c>
      <c r="C35" s="10">
        <v>46206.409126567902</v>
      </c>
      <c r="D35" s="1" t="s">
        <v>10</v>
      </c>
      <c r="E35" s="1">
        <v>17.82</v>
      </c>
    </row>
    <row r="36" spans="1:5">
      <c r="A36" s="1" t="s">
        <v>79</v>
      </c>
      <c r="B36" s="1" t="s">
        <v>80</v>
      </c>
      <c r="C36" s="10">
        <v>46125.409126567902</v>
      </c>
      <c r="D36" s="1" t="s">
        <v>10</v>
      </c>
      <c r="E36" s="1">
        <v>13.58</v>
      </c>
    </row>
    <row r="37" spans="1:5">
      <c r="A37" s="1" t="s">
        <v>81</v>
      </c>
      <c r="B37" s="1" t="s">
        <v>82</v>
      </c>
      <c r="C37" s="10">
        <v>46110.409126567902</v>
      </c>
      <c r="D37" s="1" t="s">
        <v>29</v>
      </c>
      <c r="E37" s="1">
        <v>22.72</v>
      </c>
    </row>
    <row r="38" spans="1:5">
      <c r="A38" s="1" t="s">
        <v>83</v>
      </c>
      <c r="B38" s="1" t="s">
        <v>84</v>
      </c>
      <c r="C38" s="10">
        <v>45986.409126567902</v>
      </c>
      <c r="D38" s="1" t="s">
        <v>13</v>
      </c>
      <c r="E38" s="1">
        <v>11.87</v>
      </c>
    </row>
    <row r="39" spans="1:5">
      <c r="A39" s="1" t="s">
        <v>85</v>
      </c>
      <c r="B39" s="1" t="s">
        <v>86</v>
      </c>
      <c r="C39" s="10">
        <v>46299.409126567902</v>
      </c>
      <c r="D39" s="1" t="s">
        <v>10</v>
      </c>
      <c r="E39" s="1">
        <v>17.899999999999999</v>
      </c>
    </row>
    <row r="40" spans="1:5">
      <c r="A40" s="1" t="s">
        <v>87</v>
      </c>
      <c r="B40" s="1" t="s">
        <v>88</v>
      </c>
      <c r="C40" s="10">
        <v>45990.409126567902</v>
      </c>
      <c r="D40" s="1" t="s">
        <v>50</v>
      </c>
      <c r="E40" s="1">
        <v>4.54</v>
      </c>
    </row>
    <row r="41" spans="1:5">
      <c r="A41" s="1" t="s">
        <v>89</v>
      </c>
      <c r="B41" s="1" t="s">
        <v>84</v>
      </c>
      <c r="C41" s="10">
        <v>46179.409126567902</v>
      </c>
      <c r="D41" s="1" t="s">
        <v>16</v>
      </c>
      <c r="E41" s="1">
        <v>9.6300000000000008</v>
      </c>
    </row>
    <row r="42" spans="1:5">
      <c r="A42" s="1" t="s">
        <v>90</v>
      </c>
      <c r="B42" s="1" t="s">
        <v>58</v>
      </c>
      <c r="C42" s="10">
        <v>46255.409126567902</v>
      </c>
      <c r="D42" s="1" t="s">
        <v>10</v>
      </c>
      <c r="E42" s="1">
        <v>17.350000000000001</v>
      </c>
    </row>
    <row r="43" spans="1:5">
      <c r="A43" s="1" t="s">
        <v>91</v>
      </c>
      <c r="B43" s="1" t="s">
        <v>92</v>
      </c>
      <c r="C43" s="10">
        <v>46066.409126567902</v>
      </c>
      <c r="D43" s="1" t="s">
        <v>50</v>
      </c>
      <c r="E43" s="1">
        <v>4.01</v>
      </c>
    </row>
    <row r="44" spans="1:5">
      <c r="A44" s="1" t="s">
        <v>93</v>
      </c>
      <c r="B44" s="1" t="s">
        <v>94</v>
      </c>
      <c r="C44" s="10">
        <v>46242.409126567902</v>
      </c>
      <c r="D44" s="1" t="s">
        <v>7</v>
      </c>
      <c r="E44" s="1">
        <v>32.64</v>
      </c>
    </row>
    <row r="45" spans="1:5">
      <c r="A45" s="1" t="s">
        <v>95</v>
      </c>
      <c r="B45" s="1" t="s">
        <v>96</v>
      </c>
      <c r="C45" s="10">
        <v>46070.409126567902</v>
      </c>
      <c r="D45" s="1" t="s">
        <v>50</v>
      </c>
      <c r="E45" s="1">
        <v>5.21</v>
      </c>
    </row>
    <row r="46" spans="1:5">
      <c r="A46" s="1" t="s">
        <v>97</v>
      </c>
      <c r="B46" s="1" t="s">
        <v>98</v>
      </c>
      <c r="C46" s="10">
        <v>45956.409126567902</v>
      </c>
      <c r="D46" s="1" t="s">
        <v>16</v>
      </c>
      <c r="E46" s="1">
        <v>11.63</v>
      </c>
    </row>
    <row r="47" spans="1:5">
      <c r="A47" s="1" t="s">
        <v>99</v>
      </c>
      <c r="B47" s="1" t="s">
        <v>100</v>
      </c>
      <c r="C47" s="10">
        <v>46264.409126567902</v>
      </c>
      <c r="D47" s="1" t="s">
        <v>50</v>
      </c>
      <c r="E47" s="1">
        <v>4.4800000000000004</v>
      </c>
    </row>
    <row r="48" spans="1:5">
      <c r="A48" s="1" t="s">
        <v>101</v>
      </c>
      <c r="B48" s="1" t="s">
        <v>102</v>
      </c>
      <c r="C48" s="10">
        <v>46102.409126567902</v>
      </c>
      <c r="D48" s="1" t="s">
        <v>29</v>
      </c>
      <c r="E48" s="1">
        <v>24.7</v>
      </c>
    </row>
    <row r="49" spans="1:5">
      <c r="A49" s="1" t="s">
        <v>103</v>
      </c>
      <c r="B49" s="1" t="s">
        <v>104</v>
      </c>
      <c r="C49" s="10">
        <v>46209.409126567902</v>
      </c>
      <c r="D49" s="1" t="s">
        <v>16</v>
      </c>
      <c r="E49" s="1">
        <v>9.8000000000000007</v>
      </c>
    </row>
    <row r="50" spans="1:5">
      <c r="A50" s="1" t="s">
        <v>105</v>
      </c>
      <c r="B50" s="1" t="s">
        <v>106</v>
      </c>
      <c r="C50" s="10">
        <v>46024.409126567902</v>
      </c>
      <c r="D50" s="1" t="s">
        <v>13</v>
      </c>
      <c r="E50" s="1">
        <v>11.87</v>
      </c>
    </row>
    <row r="51" spans="1:5">
      <c r="A51" s="1" t="s">
        <v>107</v>
      </c>
      <c r="B51" s="1" t="s">
        <v>108</v>
      </c>
      <c r="C51" s="10">
        <v>46251.409126567902</v>
      </c>
      <c r="D51" s="1" t="s">
        <v>7</v>
      </c>
      <c r="E51" s="1">
        <v>41.96</v>
      </c>
    </row>
    <row r="52" spans="1:5">
      <c r="A52" s="1" t="s">
        <v>109</v>
      </c>
      <c r="B52" s="1" t="s">
        <v>110</v>
      </c>
      <c r="C52" s="10">
        <v>45949.409126567902</v>
      </c>
      <c r="D52" s="1" t="s">
        <v>29</v>
      </c>
      <c r="E52" s="1">
        <v>24.7</v>
      </c>
    </row>
    <row r="53" spans="1:5">
      <c r="A53" s="1" t="s">
        <v>111</v>
      </c>
      <c r="B53" s="1" t="s">
        <v>112</v>
      </c>
      <c r="C53" s="10">
        <v>46177.409126567902</v>
      </c>
      <c r="D53" s="1" t="s">
        <v>13</v>
      </c>
      <c r="E53" s="1">
        <v>11.75</v>
      </c>
    </row>
    <row r="54" spans="1:5">
      <c r="A54" s="1" t="s">
        <v>113</v>
      </c>
      <c r="B54" s="1" t="s">
        <v>114</v>
      </c>
      <c r="C54" s="10">
        <v>46200.409126567902</v>
      </c>
      <c r="D54" s="1" t="s">
        <v>50</v>
      </c>
      <c r="E54" s="1">
        <v>4.95</v>
      </c>
    </row>
    <row r="55" spans="1:5">
      <c r="A55" s="1" t="s">
        <v>115</v>
      </c>
      <c r="B55" s="1" t="s">
        <v>94</v>
      </c>
      <c r="C55" s="10">
        <v>46281.409126567902</v>
      </c>
      <c r="D55" s="1" t="s">
        <v>16</v>
      </c>
      <c r="E55" s="1">
        <v>10.36</v>
      </c>
    </row>
    <row r="56" spans="1:5">
      <c r="A56" s="1" t="s">
        <v>116</v>
      </c>
      <c r="B56" s="1" t="s">
        <v>94</v>
      </c>
      <c r="C56" s="10">
        <v>45988.409126567902</v>
      </c>
      <c r="D56" s="1" t="s">
        <v>7</v>
      </c>
      <c r="E56" s="1">
        <v>40.590000000000003</v>
      </c>
    </row>
    <row r="57" spans="1:5">
      <c r="A57" s="1" t="s">
        <v>117</v>
      </c>
      <c r="B57" s="1" t="s">
        <v>118</v>
      </c>
      <c r="C57" s="10">
        <v>46275.409126567902</v>
      </c>
      <c r="D57" s="1" t="s">
        <v>29</v>
      </c>
      <c r="E57" s="1">
        <v>28.54</v>
      </c>
    </row>
    <row r="58" spans="1:5">
      <c r="A58" s="1" t="s">
        <v>119</v>
      </c>
      <c r="B58" s="1" t="s">
        <v>120</v>
      </c>
      <c r="C58" s="10">
        <v>46027.409126567902</v>
      </c>
      <c r="D58" s="1" t="s">
        <v>13</v>
      </c>
      <c r="E58" s="1">
        <v>9.84</v>
      </c>
    </row>
    <row r="59" spans="1:5">
      <c r="A59" s="1" t="s">
        <v>121</v>
      </c>
      <c r="B59" s="1" t="s">
        <v>122</v>
      </c>
      <c r="C59" s="10">
        <v>46199.409126567902</v>
      </c>
      <c r="D59" s="1" t="s">
        <v>13</v>
      </c>
      <c r="E59" s="1">
        <v>13.6</v>
      </c>
    </row>
    <row r="60" spans="1:5">
      <c r="A60" s="1" t="s">
        <v>123</v>
      </c>
      <c r="B60" s="1" t="s">
        <v>124</v>
      </c>
      <c r="C60" s="10">
        <v>45970.409126567902</v>
      </c>
      <c r="D60" s="1" t="s">
        <v>7</v>
      </c>
      <c r="E60" s="1">
        <v>45.5</v>
      </c>
    </row>
    <row r="61" spans="1:5">
      <c r="A61" s="1" t="s">
        <v>125</v>
      </c>
      <c r="B61" s="1" t="s">
        <v>100</v>
      </c>
      <c r="C61" s="10">
        <v>46141.409126567902</v>
      </c>
      <c r="D61" s="1" t="s">
        <v>50</v>
      </c>
      <c r="E61" s="1">
        <v>4.57</v>
      </c>
    </row>
    <row r="62" spans="1:5">
      <c r="A62" s="1" t="s">
        <v>126</v>
      </c>
      <c r="B62" s="1" t="s">
        <v>88</v>
      </c>
      <c r="C62" s="10">
        <v>46016.409126567902</v>
      </c>
      <c r="D62" s="1" t="s">
        <v>7</v>
      </c>
      <c r="E62" s="1">
        <v>39.409999999999997</v>
      </c>
    </row>
    <row r="63" spans="1:5">
      <c r="A63" s="1" t="s">
        <v>127</v>
      </c>
      <c r="B63" s="1" t="s">
        <v>128</v>
      </c>
      <c r="C63" s="10">
        <v>45985.409126567902</v>
      </c>
      <c r="D63" s="1" t="s">
        <v>13</v>
      </c>
      <c r="E63" s="1">
        <v>11.7</v>
      </c>
    </row>
    <row r="64" spans="1:5">
      <c r="A64" s="1" t="s">
        <v>129</v>
      </c>
      <c r="B64" s="1" t="s">
        <v>130</v>
      </c>
      <c r="C64" s="10">
        <v>46295.409126567902</v>
      </c>
      <c r="D64" s="1" t="s">
        <v>10</v>
      </c>
      <c r="E64" s="1">
        <v>13.31</v>
      </c>
    </row>
    <row r="65" spans="1:5">
      <c r="A65" s="1" t="s">
        <v>131</v>
      </c>
      <c r="B65" s="1" t="s">
        <v>132</v>
      </c>
      <c r="C65" s="10">
        <v>45937.409126567902</v>
      </c>
      <c r="D65" s="1" t="s">
        <v>29</v>
      </c>
      <c r="E65" s="1">
        <v>23.97</v>
      </c>
    </row>
    <row r="66" spans="1:5">
      <c r="A66" s="1" t="s">
        <v>133</v>
      </c>
      <c r="B66" s="1" t="s">
        <v>134</v>
      </c>
      <c r="C66" s="10">
        <v>45989.409126567902</v>
      </c>
      <c r="D66" s="1" t="s">
        <v>7</v>
      </c>
      <c r="E66" s="1">
        <v>32.71</v>
      </c>
    </row>
    <row r="67" spans="1:5">
      <c r="A67" s="1" t="s">
        <v>135</v>
      </c>
      <c r="B67" s="1" t="s">
        <v>136</v>
      </c>
      <c r="C67" s="10">
        <v>46041.409126567902</v>
      </c>
      <c r="D67" s="1" t="s">
        <v>13</v>
      </c>
      <c r="E67" s="1">
        <v>10.93</v>
      </c>
    </row>
    <row r="68" spans="1:5">
      <c r="A68" s="1" t="s">
        <v>137</v>
      </c>
      <c r="B68" s="1" t="s">
        <v>132</v>
      </c>
      <c r="C68" s="10">
        <v>46195.409126567902</v>
      </c>
      <c r="D68" s="1" t="s">
        <v>50</v>
      </c>
      <c r="E68" s="1">
        <v>5.63</v>
      </c>
    </row>
    <row r="69" spans="1:5">
      <c r="A69" s="1" t="s">
        <v>138</v>
      </c>
      <c r="B69" s="1" t="s">
        <v>39</v>
      </c>
      <c r="C69" s="10">
        <v>46245.409126567902</v>
      </c>
      <c r="D69" s="1" t="s">
        <v>13</v>
      </c>
      <c r="E69" s="1">
        <v>10.97</v>
      </c>
    </row>
    <row r="70" spans="1:5">
      <c r="A70" s="1" t="s">
        <v>139</v>
      </c>
      <c r="B70" s="1" t="s">
        <v>140</v>
      </c>
      <c r="C70" s="10">
        <v>46126.409126567902</v>
      </c>
      <c r="D70" s="1" t="s">
        <v>50</v>
      </c>
      <c r="E70" s="1">
        <v>5.64</v>
      </c>
    </row>
    <row r="71" spans="1:5">
      <c r="A71" s="1" t="s">
        <v>141</v>
      </c>
      <c r="B71" s="1" t="s">
        <v>134</v>
      </c>
      <c r="C71" s="10">
        <v>46153.409126567902</v>
      </c>
      <c r="D71" s="1" t="s">
        <v>7</v>
      </c>
      <c r="E71" s="1">
        <v>40.51</v>
      </c>
    </row>
    <row r="72" spans="1:5">
      <c r="A72" s="1" t="s">
        <v>142</v>
      </c>
      <c r="B72" s="1" t="s">
        <v>143</v>
      </c>
      <c r="C72" s="10">
        <v>45979.409126567902</v>
      </c>
      <c r="D72" s="1" t="s">
        <v>50</v>
      </c>
      <c r="E72" s="1">
        <v>5.76</v>
      </c>
    </row>
    <row r="73" spans="1:5">
      <c r="A73" s="1" t="s">
        <v>144</v>
      </c>
      <c r="B73" s="1" t="s">
        <v>145</v>
      </c>
      <c r="C73" s="10">
        <v>46097.409126567902</v>
      </c>
      <c r="D73" s="1" t="s">
        <v>16</v>
      </c>
      <c r="E73" s="1">
        <v>10.3</v>
      </c>
    </row>
    <row r="74" spans="1:5">
      <c r="A74" s="1" t="s">
        <v>146</v>
      </c>
      <c r="B74" s="1" t="s">
        <v>147</v>
      </c>
      <c r="C74" s="10">
        <v>46137.409126567902</v>
      </c>
      <c r="D74" s="1" t="s">
        <v>16</v>
      </c>
      <c r="E74" s="1">
        <v>8.1199999999999992</v>
      </c>
    </row>
    <row r="75" spans="1:5">
      <c r="A75" s="1" t="s">
        <v>148</v>
      </c>
      <c r="B75" s="1" t="s">
        <v>15</v>
      </c>
      <c r="C75" s="10">
        <v>46205.409126567902</v>
      </c>
      <c r="D75" s="1" t="s">
        <v>16</v>
      </c>
      <c r="E75" s="1">
        <v>10.7</v>
      </c>
    </row>
    <row r="76" spans="1:5">
      <c r="A76" s="1" t="s">
        <v>149</v>
      </c>
      <c r="B76" s="1" t="s">
        <v>76</v>
      </c>
      <c r="C76" s="10">
        <v>46286.409126567902</v>
      </c>
      <c r="D76" s="1" t="s">
        <v>10</v>
      </c>
      <c r="E76" s="1">
        <v>12.27</v>
      </c>
    </row>
    <row r="77" spans="1:5">
      <c r="A77" s="1" t="s">
        <v>150</v>
      </c>
      <c r="B77" s="1" t="s">
        <v>151</v>
      </c>
      <c r="C77" s="10">
        <v>46239.409126567902</v>
      </c>
      <c r="D77" s="1" t="s">
        <v>7</v>
      </c>
      <c r="E77" s="1">
        <v>39.21</v>
      </c>
    </row>
    <row r="78" spans="1:5">
      <c r="A78" s="1" t="s">
        <v>152</v>
      </c>
      <c r="B78" s="1" t="s">
        <v>153</v>
      </c>
      <c r="C78" s="10">
        <v>46206.409126567902</v>
      </c>
      <c r="D78" s="1" t="s">
        <v>13</v>
      </c>
      <c r="E78" s="1">
        <v>14.06</v>
      </c>
    </row>
    <row r="79" spans="1:5">
      <c r="A79" s="1" t="s">
        <v>154</v>
      </c>
      <c r="B79" s="1" t="s">
        <v>155</v>
      </c>
      <c r="C79" s="10">
        <v>46150.409126567902</v>
      </c>
      <c r="D79" s="1" t="s">
        <v>13</v>
      </c>
      <c r="E79" s="1">
        <v>10.39</v>
      </c>
    </row>
    <row r="80" spans="1:5">
      <c r="A80" s="1" t="s">
        <v>156</v>
      </c>
      <c r="B80" s="1" t="s">
        <v>157</v>
      </c>
      <c r="C80" s="10">
        <v>46187.409126567902</v>
      </c>
      <c r="D80" s="1" t="s">
        <v>10</v>
      </c>
      <c r="E80" s="1">
        <v>14.34</v>
      </c>
    </row>
    <row r="81" spans="1:5">
      <c r="A81" s="1" t="s">
        <v>158</v>
      </c>
      <c r="B81" s="1" t="s">
        <v>159</v>
      </c>
      <c r="C81" s="10">
        <v>46125.409126567902</v>
      </c>
      <c r="D81" s="1" t="s">
        <v>50</v>
      </c>
      <c r="E81" s="1">
        <v>5.46</v>
      </c>
    </row>
    <row r="82" spans="1:5">
      <c r="A82" s="1" t="s">
        <v>160</v>
      </c>
      <c r="B82" s="1" t="s">
        <v>161</v>
      </c>
      <c r="C82" s="10">
        <v>46231.409126567902</v>
      </c>
      <c r="D82" s="1" t="s">
        <v>10</v>
      </c>
      <c r="E82" s="1">
        <v>17.29</v>
      </c>
    </row>
    <row r="83" spans="1:5">
      <c r="A83" s="1" t="s">
        <v>162</v>
      </c>
      <c r="B83" s="1" t="s">
        <v>163</v>
      </c>
      <c r="C83" s="10">
        <v>46148.409126567902</v>
      </c>
      <c r="D83" s="1" t="s">
        <v>50</v>
      </c>
      <c r="E83" s="1">
        <v>5.34</v>
      </c>
    </row>
    <row r="84" spans="1:5">
      <c r="A84" s="1" t="s">
        <v>164</v>
      </c>
      <c r="B84" s="1" t="s">
        <v>128</v>
      </c>
      <c r="C84" s="10">
        <v>46143.409126567902</v>
      </c>
      <c r="D84" s="1" t="s">
        <v>50</v>
      </c>
      <c r="E84" s="1">
        <v>4.5199999999999996</v>
      </c>
    </row>
    <row r="85" spans="1:5">
      <c r="A85" s="1" t="s">
        <v>165</v>
      </c>
      <c r="B85" s="1" t="s">
        <v>132</v>
      </c>
      <c r="C85" s="10">
        <v>46172.409126567902</v>
      </c>
      <c r="D85" s="1" t="s">
        <v>29</v>
      </c>
      <c r="E85" s="1">
        <v>26.75</v>
      </c>
    </row>
    <row r="86" spans="1:5">
      <c r="A86" s="1" t="s">
        <v>166</v>
      </c>
      <c r="B86" s="1" t="s">
        <v>167</v>
      </c>
      <c r="C86" s="10">
        <v>46273.409126567902</v>
      </c>
      <c r="D86" s="1" t="s">
        <v>13</v>
      </c>
      <c r="E86" s="1">
        <v>11.02</v>
      </c>
    </row>
    <row r="87" spans="1:5">
      <c r="A87" s="1" t="s">
        <v>168</v>
      </c>
      <c r="B87" s="1" t="s">
        <v>18</v>
      </c>
      <c r="C87" s="10">
        <v>45988.409126567902</v>
      </c>
      <c r="D87" s="1" t="s">
        <v>16</v>
      </c>
      <c r="E87" s="1">
        <v>10.87</v>
      </c>
    </row>
    <row r="88" spans="1:5">
      <c r="A88" s="1" t="s">
        <v>169</v>
      </c>
      <c r="B88" s="1" t="s">
        <v>132</v>
      </c>
      <c r="C88" s="10">
        <v>46215.409126567902</v>
      </c>
      <c r="D88" s="1" t="s">
        <v>50</v>
      </c>
      <c r="E88" s="1">
        <v>5.91</v>
      </c>
    </row>
    <row r="89" spans="1:5">
      <c r="A89" s="1" t="s">
        <v>170</v>
      </c>
      <c r="B89" s="1" t="s">
        <v>171</v>
      </c>
      <c r="C89" s="10">
        <v>46152.409126567902</v>
      </c>
      <c r="D89" s="1" t="s">
        <v>29</v>
      </c>
      <c r="E89" s="1">
        <v>27.21</v>
      </c>
    </row>
    <row r="90" spans="1:5">
      <c r="A90" s="1" t="s">
        <v>172</v>
      </c>
      <c r="B90" s="1" t="s">
        <v>173</v>
      </c>
      <c r="C90" s="10">
        <v>46187.409126567902</v>
      </c>
      <c r="D90" s="1" t="s">
        <v>13</v>
      </c>
      <c r="E90" s="1">
        <v>13.74</v>
      </c>
    </row>
    <row r="91" spans="1:5">
      <c r="A91" s="1" t="s">
        <v>174</v>
      </c>
      <c r="B91" s="1" t="s">
        <v>28</v>
      </c>
      <c r="C91" s="10">
        <v>46123.409126567902</v>
      </c>
      <c r="D91" s="1" t="s">
        <v>16</v>
      </c>
      <c r="E91" s="1">
        <v>8.01</v>
      </c>
    </row>
    <row r="92" spans="1:5">
      <c r="A92" s="1" t="s">
        <v>175</v>
      </c>
      <c r="B92" s="1" t="s">
        <v>43</v>
      </c>
      <c r="C92" s="10">
        <v>45976.409126567902</v>
      </c>
      <c r="D92" s="1" t="s">
        <v>50</v>
      </c>
      <c r="E92" s="1">
        <v>5.44</v>
      </c>
    </row>
    <row r="93" spans="1:5">
      <c r="A93" s="1" t="s">
        <v>176</v>
      </c>
      <c r="B93" s="1" t="s">
        <v>177</v>
      </c>
      <c r="C93" s="10">
        <v>46092.409126567902</v>
      </c>
      <c r="D93" s="1" t="s">
        <v>50</v>
      </c>
      <c r="E93" s="1">
        <v>5.66</v>
      </c>
    </row>
    <row r="94" spans="1:5">
      <c r="A94" s="1" t="s">
        <v>178</v>
      </c>
      <c r="B94" s="1" t="s">
        <v>179</v>
      </c>
      <c r="C94" s="10">
        <v>45950.409126567902</v>
      </c>
      <c r="D94" s="1" t="s">
        <v>10</v>
      </c>
      <c r="E94" s="1">
        <v>12.24</v>
      </c>
    </row>
    <row r="95" spans="1:5">
      <c r="A95" s="1" t="s">
        <v>180</v>
      </c>
      <c r="B95" s="1" t="s">
        <v>181</v>
      </c>
      <c r="C95" s="10">
        <v>46236.409126567902</v>
      </c>
      <c r="D95" s="1" t="s">
        <v>10</v>
      </c>
      <c r="E95" s="1">
        <v>17.23</v>
      </c>
    </row>
    <row r="96" spans="1:5">
      <c r="A96" s="1" t="s">
        <v>182</v>
      </c>
      <c r="B96" s="1" t="s">
        <v>183</v>
      </c>
      <c r="C96" s="10">
        <v>46000.409126567902</v>
      </c>
      <c r="D96" s="1" t="s">
        <v>13</v>
      </c>
      <c r="E96" s="1">
        <v>10.83</v>
      </c>
    </row>
    <row r="97" spans="1:5">
      <c r="A97" s="1" t="s">
        <v>184</v>
      </c>
      <c r="B97" s="1" t="s">
        <v>185</v>
      </c>
      <c r="C97" s="10">
        <v>46280.409126567902</v>
      </c>
      <c r="D97" s="1" t="s">
        <v>16</v>
      </c>
      <c r="E97" s="1">
        <v>10.66</v>
      </c>
    </row>
    <row r="98" spans="1:5">
      <c r="A98" s="1" t="s">
        <v>186</v>
      </c>
      <c r="B98" s="1" t="s">
        <v>187</v>
      </c>
      <c r="C98" s="10">
        <v>46262.409126567902</v>
      </c>
      <c r="D98" s="1" t="s">
        <v>50</v>
      </c>
      <c r="E98" s="1">
        <v>5.6</v>
      </c>
    </row>
    <row r="99" spans="1:5">
      <c r="A99" s="1" t="s">
        <v>188</v>
      </c>
      <c r="B99" s="1" t="s">
        <v>45</v>
      </c>
      <c r="C99" s="10">
        <v>45944.409126567902</v>
      </c>
      <c r="D99" s="1" t="s">
        <v>13</v>
      </c>
      <c r="E99" s="1">
        <v>12.78</v>
      </c>
    </row>
    <row r="100" spans="1:5">
      <c r="A100" s="1" t="s">
        <v>189</v>
      </c>
      <c r="B100" s="1" t="s">
        <v>190</v>
      </c>
      <c r="C100" s="10">
        <v>46279.409126567902</v>
      </c>
      <c r="D100" s="1" t="s">
        <v>13</v>
      </c>
      <c r="E100" s="1">
        <v>10.039999999999999</v>
      </c>
    </row>
    <row r="101" spans="1:5">
      <c r="A101" s="1" t="s">
        <v>191</v>
      </c>
      <c r="B101" s="1" t="s">
        <v>192</v>
      </c>
      <c r="C101" s="10">
        <v>46064.409126567902</v>
      </c>
      <c r="D101" s="1" t="s">
        <v>7</v>
      </c>
      <c r="E101" s="1">
        <v>41.54</v>
      </c>
    </row>
    <row r="102" spans="1:5">
      <c r="A102" s="1" t="s">
        <v>193</v>
      </c>
      <c r="B102" s="1" t="s">
        <v>143</v>
      </c>
      <c r="C102" s="10">
        <v>46071.409126567902</v>
      </c>
      <c r="D102" s="1" t="s">
        <v>10</v>
      </c>
      <c r="E102" s="1">
        <v>15.3</v>
      </c>
    </row>
    <row r="103" spans="1:5">
      <c r="A103" s="1" t="s">
        <v>194</v>
      </c>
      <c r="B103" s="1" t="s">
        <v>39</v>
      </c>
      <c r="C103" s="10">
        <v>45998.409126567902</v>
      </c>
      <c r="D103" s="1" t="s">
        <v>16</v>
      </c>
      <c r="E103" s="1">
        <v>11.6</v>
      </c>
    </row>
    <row r="104" spans="1:5">
      <c r="A104" s="1" t="s">
        <v>195</v>
      </c>
      <c r="B104" s="1" t="s">
        <v>122</v>
      </c>
      <c r="C104" s="10">
        <v>46074.409126567902</v>
      </c>
      <c r="D104" s="1" t="s">
        <v>50</v>
      </c>
      <c r="E104" s="1">
        <v>4.8099999999999996</v>
      </c>
    </row>
    <row r="105" spans="1:5">
      <c r="A105" s="1" t="s">
        <v>196</v>
      </c>
      <c r="B105" s="1" t="s">
        <v>197</v>
      </c>
      <c r="C105" s="10">
        <v>46016.409126567902</v>
      </c>
      <c r="D105" s="1" t="s">
        <v>13</v>
      </c>
      <c r="E105" s="1">
        <v>11.14</v>
      </c>
    </row>
    <row r="106" spans="1:5">
      <c r="A106" s="1" t="s">
        <v>198</v>
      </c>
      <c r="B106" s="1" t="s">
        <v>104</v>
      </c>
      <c r="C106" s="10">
        <v>46098.409126567902</v>
      </c>
      <c r="D106" s="1" t="s">
        <v>50</v>
      </c>
      <c r="E106" s="1">
        <v>5.5</v>
      </c>
    </row>
    <row r="107" spans="1:5">
      <c r="A107" s="1" t="s">
        <v>199</v>
      </c>
      <c r="B107" s="1" t="s">
        <v>200</v>
      </c>
      <c r="C107" s="10">
        <v>46224.409126567902</v>
      </c>
      <c r="D107" s="1" t="s">
        <v>7</v>
      </c>
      <c r="E107" s="1">
        <v>38.6</v>
      </c>
    </row>
    <row r="108" spans="1:5">
      <c r="A108" s="1" t="s">
        <v>201</v>
      </c>
      <c r="B108" s="1" t="s">
        <v>202</v>
      </c>
      <c r="C108" s="10">
        <v>46196.409126567902</v>
      </c>
      <c r="D108" s="1" t="s">
        <v>16</v>
      </c>
      <c r="E108" s="1">
        <v>10.58</v>
      </c>
    </row>
    <row r="109" spans="1:5">
      <c r="A109" s="1" t="s">
        <v>203</v>
      </c>
      <c r="B109" s="1" t="s">
        <v>94</v>
      </c>
      <c r="C109" s="10">
        <v>46166.409126567902</v>
      </c>
      <c r="D109" s="1" t="s">
        <v>13</v>
      </c>
      <c r="E109" s="1">
        <v>12.7</v>
      </c>
    </row>
    <row r="110" spans="1:5">
      <c r="A110" s="1" t="s">
        <v>204</v>
      </c>
      <c r="B110" s="1" t="s">
        <v>205</v>
      </c>
      <c r="C110" s="10">
        <v>45976.409126567902</v>
      </c>
      <c r="D110" s="1" t="s">
        <v>50</v>
      </c>
      <c r="E110" s="1">
        <v>5.78</v>
      </c>
    </row>
    <row r="111" spans="1:5">
      <c r="A111" s="1" t="s">
        <v>206</v>
      </c>
      <c r="B111" s="1" t="s">
        <v>130</v>
      </c>
      <c r="C111" s="10">
        <v>45963.409126567902</v>
      </c>
      <c r="D111" s="1" t="s">
        <v>10</v>
      </c>
      <c r="E111" s="1">
        <v>15.59</v>
      </c>
    </row>
    <row r="112" spans="1:5">
      <c r="A112" s="1" t="s">
        <v>207</v>
      </c>
      <c r="B112" s="1" t="s">
        <v>94</v>
      </c>
      <c r="C112" s="10">
        <v>46070.409126567902</v>
      </c>
      <c r="D112" s="1" t="s">
        <v>7</v>
      </c>
      <c r="E112" s="1">
        <v>40.03</v>
      </c>
    </row>
    <row r="113" spans="1:5">
      <c r="A113" s="1" t="s">
        <v>208</v>
      </c>
      <c r="B113" s="1" t="s">
        <v>209</v>
      </c>
      <c r="C113" s="10">
        <v>46136.409126567902</v>
      </c>
      <c r="D113" s="1" t="s">
        <v>16</v>
      </c>
      <c r="E113" s="1">
        <v>8.56</v>
      </c>
    </row>
    <row r="114" spans="1:5">
      <c r="A114" s="1" t="s">
        <v>210</v>
      </c>
      <c r="B114" s="1" t="s">
        <v>211</v>
      </c>
      <c r="C114" s="10">
        <v>46263.409126567902</v>
      </c>
      <c r="D114" s="1" t="s">
        <v>7</v>
      </c>
      <c r="E114" s="1">
        <v>33.85</v>
      </c>
    </row>
    <row r="115" spans="1:5">
      <c r="A115" s="1" t="s">
        <v>212</v>
      </c>
      <c r="B115" s="1" t="s">
        <v>213</v>
      </c>
      <c r="C115" s="10">
        <v>46203.409126567902</v>
      </c>
      <c r="D115" s="1" t="s">
        <v>10</v>
      </c>
      <c r="E115" s="1">
        <v>12.93</v>
      </c>
    </row>
    <row r="116" spans="1:5">
      <c r="A116" s="1" t="s">
        <v>214</v>
      </c>
      <c r="B116" s="1" t="s">
        <v>215</v>
      </c>
      <c r="C116" s="10">
        <v>45968.409126567902</v>
      </c>
      <c r="D116" s="1" t="s">
        <v>16</v>
      </c>
      <c r="E116" s="1">
        <v>8.69</v>
      </c>
    </row>
    <row r="117" spans="1:5">
      <c r="A117" s="1" t="s">
        <v>216</v>
      </c>
      <c r="B117" s="1" t="s">
        <v>217</v>
      </c>
      <c r="C117" s="10">
        <v>45983.409126567902</v>
      </c>
      <c r="D117" s="1" t="s">
        <v>7</v>
      </c>
      <c r="E117" s="1">
        <v>42.21</v>
      </c>
    </row>
    <row r="118" spans="1:5">
      <c r="A118" s="1" t="s">
        <v>218</v>
      </c>
      <c r="B118" s="1" t="s">
        <v>219</v>
      </c>
      <c r="C118" s="10">
        <v>45997.409126567902</v>
      </c>
      <c r="D118" s="1" t="s">
        <v>29</v>
      </c>
      <c r="E118" s="1">
        <v>27.41</v>
      </c>
    </row>
    <row r="119" spans="1:5">
      <c r="A119" s="1" t="s">
        <v>220</v>
      </c>
      <c r="B119" s="1" t="s">
        <v>221</v>
      </c>
      <c r="C119" s="10">
        <v>46151.409126567902</v>
      </c>
      <c r="D119" s="1" t="s">
        <v>10</v>
      </c>
      <c r="E119" s="1">
        <v>15.18</v>
      </c>
    </row>
    <row r="120" spans="1:5">
      <c r="A120" s="1" t="s">
        <v>222</v>
      </c>
      <c r="B120" s="1" t="s">
        <v>223</v>
      </c>
      <c r="C120" s="10">
        <v>46228.409126567902</v>
      </c>
      <c r="D120" s="1" t="s">
        <v>10</v>
      </c>
      <c r="E120" s="1">
        <v>16.97</v>
      </c>
    </row>
    <row r="121" spans="1:5">
      <c r="A121" s="1" t="s">
        <v>224</v>
      </c>
      <c r="B121" s="1" t="s">
        <v>225</v>
      </c>
      <c r="C121" s="10">
        <v>46034.409126567902</v>
      </c>
      <c r="D121" s="1" t="s">
        <v>10</v>
      </c>
      <c r="E121" s="1">
        <v>17.95</v>
      </c>
    </row>
    <row r="122" spans="1:5">
      <c r="A122" s="1" t="s">
        <v>226</v>
      </c>
      <c r="B122" s="1" t="s">
        <v>58</v>
      </c>
      <c r="C122" s="10">
        <v>46107.409126567902</v>
      </c>
      <c r="D122" s="1" t="s">
        <v>29</v>
      </c>
      <c r="E122" s="1">
        <v>28.2</v>
      </c>
    </row>
    <row r="123" spans="1:5">
      <c r="A123" s="1" t="s">
        <v>227</v>
      </c>
      <c r="B123" s="1" t="s">
        <v>228</v>
      </c>
      <c r="C123" s="10">
        <v>46295.409126567902</v>
      </c>
      <c r="D123" s="1" t="s">
        <v>29</v>
      </c>
      <c r="E123" s="1">
        <v>26.95</v>
      </c>
    </row>
    <row r="124" spans="1:5">
      <c r="A124" s="1" t="s">
        <v>229</v>
      </c>
      <c r="B124" s="1" t="s">
        <v>230</v>
      </c>
      <c r="C124" s="10">
        <v>46149.409126567902</v>
      </c>
      <c r="D124" s="1" t="s">
        <v>50</v>
      </c>
      <c r="E124" s="1">
        <v>5.0599999999999996</v>
      </c>
    </row>
    <row r="125" spans="1:5">
      <c r="A125" s="1" t="s">
        <v>231</v>
      </c>
      <c r="B125" s="1" t="s">
        <v>62</v>
      </c>
      <c r="C125" s="10">
        <v>45970.409126567902</v>
      </c>
      <c r="D125" s="1" t="s">
        <v>13</v>
      </c>
      <c r="E125" s="1">
        <v>11.75</v>
      </c>
    </row>
    <row r="126" spans="1:5">
      <c r="A126" s="1" t="s">
        <v>232</v>
      </c>
      <c r="B126" s="1" t="s">
        <v>233</v>
      </c>
      <c r="C126" s="10">
        <v>46162.409126567902</v>
      </c>
      <c r="D126" s="1" t="s">
        <v>7</v>
      </c>
      <c r="E126" s="1">
        <v>33.35</v>
      </c>
    </row>
    <row r="127" spans="1:5">
      <c r="A127" s="1" t="s">
        <v>234</v>
      </c>
      <c r="B127" s="1" t="s">
        <v>33</v>
      </c>
      <c r="C127" s="10">
        <v>46036.409126567902</v>
      </c>
      <c r="D127" s="1" t="s">
        <v>50</v>
      </c>
      <c r="E127" s="1">
        <v>4.8</v>
      </c>
    </row>
    <row r="128" spans="1:5">
      <c r="A128" s="1" t="s">
        <v>235</v>
      </c>
      <c r="B128" s="1" t="s">
        <v>236</v>
      </c>
      <c r="C128" s="10">
        <v>46066.409126567902</v>
      </c>
      <c r="D128" s="1" t="s">
        <v>7</v>
      </c>
      <c r="E128" s="1">
        <v>46.56</v>
      </c>
    </row>
    <row r="129" spans="1:5">
      <c r="A129" s="1" t="s">
        <v>237</v>
      </c>
      <c r="B129" s="1" t="s">
        <v>238</v>
      </c>
      <c r="C129" s="10">
        <v>46192.409126567902</v>
      </c>
      <c r="D129" s="1" t="s">
        <v>13</v>
      </c>
      <c r="E129" s="1">
        <v>13.48</v>
      </c>
    </row>
    <row r="130" spans="1:5">
      <c r="A130" s="1" t="s">
        <v>239</v>
      </c>
      <c r="B130" s="1" t="s">
        <v>56</v>
      </c>
      <c r="C130" s="10">
        <v>45940.409126567902</v>
      </c>
      <c r="D130" s="1" t="s">
        <v>29</v>
      </c>
      <c r="E130" s="1">
        <v>22.16</v>
      </c>
    </row>
    <row r="131" spans="1:5">
      <c r="A131" s="1" t="s">
        <v>240</v>
      </c>
      <c r="B131" s="1" t="s">
        <v>241</v>
      </c>
      <c r="C131" s="10">
        <v>46153.409126567902</v>
      </c>
      <c r="D131" s="1" t="s">
        <v>13</v>
      </c>
      <c r="E131" s="1">
        <v>11.84</v>
      </c>
    </row>
    <row r="132" spans="1:5">
      <c r="A132" s="1" t="s">
        <v>242</v>
      </c>
      <c r="B132" s="1" t="s">
        <v>243</v>
      </c>
      <c r="C132" s="10">
        <v>46190.409126567902</v>
      </c>
      <c r="D132" s="1" t="s">
        <v>29</v>
      </c>
      <c r="E132" s="1">
        <v>28.17</v>
      </c>
    </row>
    <row r="133" spans="1:5">
      <c r="A133" s="1" t="s">
        <v>244</v>
      </c>
      <c r="B133" s="1" t="s">
        <v>49</v>
      </c>
      <c r="C133" s="10">
        <v>46294.409126567902</v>
      </c>
      <c r="D133" s="1" t="s">
        <v>13</v>
      </c>
      <c r="E133" s="1">
        <v>9.92</v>
      </c>
    </row>
    <row r="134" spans="1:5">
      <c r="A134" s="1" t="s">
        <v>245</v>
      </c>
      <c r="B134" s="1" t="s">
        <v>246</v>
      </c>
      <c r="C134" s="10">
        <v>46218.409126567902</v>
      </c>
      <c r="D134" s="1" t="s">
        <v>50</v>
      </c>
      <c r="E134" s="1">
        <v>4.7699999999999996</v>
      </c>
    </row>
    <row r="135" spans="1:5">
      <c r="A135" s="1" t="s">
        <v>247</v>
      </c>
      <c r="B135" s="1" t="s">
        <v>248</v>
      </c>
      <c r="C135" s="10">
        <v>46142.409126567902</v>
      </c>
      <c r="D135" s="1" t="s">
        <v>16</v>
      </c>
      <c r="E135" s="1">
        <v>11.41</v>
      </c>
    </row>
    <row r="136" spans="1:5">
      <c r="A136" s="1" t="s">
        <v>249</v>
      </c>
      <c r="B136" s="1" t="s">
        <v>250</v>
      </c>
      <c r="C136" s="10">
        <v>45950.409126567902</v>
      </c>
      <c r="D136" s="1" t="s">
        <v>50</v>
      </c>
      <c r="E136" s="1">
        <v>4.8099999999999996</v>
      </c>
    </row>
    <row r="137" spans="1:5">
      <c r="A137" s="1" t="s">
        <v>251</v>
      </c>
      <c r="B137" s="1" t="s">
        <v>70</v>
      </c>
      <c r="C137" s="10">
        <v>46281.409126567902</v>
      </c>
      <c r="D137" s="1" t="s">
        <v>7</v>
      </c>
      <c r="E137" s="1">
        <v>33.24</v>
      </c>
    </row>
    <row r="138" spans="1:5">
      <c r="A138" s="1" t="s">
        <v>252</v>
      </c>
      <c r="B138" s="1" t="s">
        <v>106</v>
      </c>
      <c r="C138" s="10">
        <v>45977.409126567902</v>
      </c>
      <c r="D138" s="1" t="s">
        <v>50</v>
      </c>
      <c r="E138" s="1">
        <v>5.09</v>
      </c>
    </row>
    <row r="139" spans="1:5">
      <c r="A139" s="1" t="s">
        <v>253</v>
      </c>
      <c r="B139" s="1" t="s">
        <v>254</v>
      </c>
      <c r="C139" s="10">
        <v>46114.409126567902</v>
      </c>
      <c r="D139" s="1" t="s">
        <v>10</v>
      </c>
      <c r="E139" s="1">
        <v>17.170000000000002</v>
      </c>
    </row>
    <row r="140" spans="1:5">
      <c r="A140" s="1" t="s">
        <v>255</v>
      </c>
      <c r="B140" s="1" t="s">
        <v>256</v>
      </c>
      <c r="C140" s="10">
        <v>45998.409126567902</v>
      </c>
      <c r="D140" s="1" t="s">
        <v>7</v>
      </c>
      <c r="E140" s="1">
        <v>41.44</v>
      </c>
    </row>
    <row r="141" spans="1:5">
      <c r="A141" s="1" t="s">
        <v>257</v>
      </c>
      <c r="B141" s="1" t="s">
        <v>258</v>
      </c>
      <c r="C141" s="10">
        <v>46287.409126567902</v>
      </c>
      <c r="D141" s="1" t="s">
        <v>13</v>
      </c>
      <c r="E141" s="1">
        <v>10.69</v>
      </c>
    </row>
    <row r="142" spans="1:5">
      <c r="A142" s="1" t="s">
        <v>259</v>
      </c>
      <c r="B142" s="1" t="s">
        <v>260</v>
      </c>
      <c r="C142" s="10">
        <v>46166.409126567902</v>
      </c>
      <c r="D142" s="1" t="s">
        <v>7</v>
      </c>
      <c r="E142" s="1">
        <v>38.15</v>
      </c>
    </row>
    <row r="143" spans="1:5">
      <c r="A143" s="1" t="s">
        <v>261</v>
      </c>
      <c r="B143" s="1" t="s">
        <v>155</v>
      </c>
      <c r="C143" s="10">
        <v>46176.409126567902</v>
      </c>
      <c r="D143" s="1" t="s">
        <v>16</v>
      </c>
      <c r="E143" s="1">
        <v>9.8000000000000007</v>
      </c>
    </row>
    <row r="144" spans="1:5">
      <c r="A144" s="1" t="s">
        <v>262</v>
      </c>
      <c r="B144" s="1" t="s">
        <v>205</v>
      </c>
      <c r="C144" s="10">
        <v>45987.409126567902</v>
      </c>
      <c r="D144" s="1" t="s">
        <v>29</v>
      </c>
      <c r="E144" s="1">
        <v>25.79</v>
      </c>
    </row>
    <row r="145" spans="1:5">
      <c r="A145" s="1" t="s">
        <v>263</v>
      </c>
      <c r="B145" s="1" t="s">
        <v>264</v>
      </c>
      <c r="C145" s="10">
        <v>46031.409126567902</v>
      </c>
      <c r="D145" s="1" t="s">
        <v>13</v>
      </c>
      <c r="E145" s="1">
        <v>13.24</v>
      </c>
    </row>
    <row r="146" spans="1:5">
      <c r="A146" s="1" t="s">
        <v>265</v>
      </c>
      <c r="B146" s="1" t="s">
        <v>266</v>
      </c>
      <c r="C146" s="10">
        <v>46157.409126567902</v>
      </c>
      <c r="D146" s="1" t="s">
        <v>7</v>
      </c>
      <c r="E146" s="1">
        <v>33.58</v>
      </c>
    </row>
    <row r="147" spans="1:5">
      <c r="A147" s="1" t="s">
        <v>267</v>
      </c>
      <c r="B147" s="1" t="s">
        <v>268</v>
      </c>
      <c r="C147" s="10">
        <v>46166.409126567902</v>
      </c>
      <c r="D147" s="1" t="s">
        <v>13</v>
      </c>
      <c r="E147" s="1">
        <v>13.87</v>
      </c>
    </row>
    <row r="148" spans="1:5">
      <c r="A148" s="1" t="s">
        <v>269</v>
      </c>
      <c r="B148" s="1" t="s">
        <v>100</v>
      </c>
      <c r="C148" s="10">
        <v>46172.409126567902</v>
      </c>
      <c r="D148" s="1" t="s">
        <v>13</v>
      </c>
      <c r="E148" s="1">
        <v>9.66</v>
      </c>
    </row>
    <row r="149" spans="1:5">
      <c r="A149" s="1" t="s">
        <v>270</v>
      </c>
      <c r="B149" s="1" t="s">
        <v>238</v>
      </c>
      <c r="C149" s="10">
        <v>46078.409126567902</v>
      </c>
      <c r="D149" s="1" t="s">
        <v>13</v>
      </c>
      <c r="E149" s="1">
        <v>11.38</v>
      </c>
    </row>
    <row r="150" spans="1:5">
      <c r="A150" s="1" t="s">
        <v>271</v>
      </c>
      <c r="B150" s="1" t="s">
        <v>272</v>
      </c>
      <c r="C150" s="10">
        <v>46106.409126567902</v>
      </c>
      <c r="D150" s="1" t="s">
        <v>29</v>
      </c>
      <c r="E150" s="1">
        <v>20.27</v>
      </c>
    </row>
    <row r="151" spans="1:5">
      <c r="A151" s="1" t="s">
        <v>273</v>
      </c>
      <c r="B151" s="1" t="s">
        <v>256</v>
      </c>
      <c r="C151" s="10">
        <v>45964.409126567902</v>
      </c>
      <c r="D151" s="1" t="s">
        <v>50</v>
      </c>
      <c r="E151" s="1">
        <v>4.79</v>
      </c>
    </row>
    <row r="152" spans="1:5">
      <c r="A152" s="1" t="s">
        <v>274</v>
      </c>
      <c r="B152" s="1" t="s">
        <v>275</v>
      </c>
      <c r="C152" s="10">
        <v>45971.409126567902</v>
      </c>
      <c r="D152" s="1" t="s">
        <v>13</v>
      </c>
      <c r="E152" s="1">
        <v>12.12</v>
      </c>
    </row>
    <row r="153" spans="1:5">
      <c r="A153" s="1" t="s">
        <v>276</v>
      </c>
      <c r="B153" s="1" t="s">
        <v>120</v>
      </c>
      <c r="C153" s="10">
        <v>45948.409126567902</v>
      </c>
      <c r="D153" s="1" t="s">
        <v>10</v>
      </c>
      <c r="E153" s="1">
        <v>15.07</v>
      </c>
    </row>
    <row r="154" spans="1:5">
      <c r="A154" s="1" t="s">
        <v>277</v>
      </c>
      <c r="B154" s="1" t="s">
        <v>9</v>
      </c>
      <c r="C154" s="10">
        <v>46095.409126567902</v>
      </c>
      <c r="D154" s="1" t="s">
        <v>16</v>
      </c>
      <c r="E154" s="1">
        <v>8.66</v>
      </c>
    </row>
    <row r="155" spans="1:5">
      <c r="A155" s="1" t="s">
        <v>278</v>
      </c>
      <c r="B155" s="1" t="s">
        <v>279</v>
      </c>
      <c r="C155" s="10">
        <v>46262.409126567902</v>
      </c>
      <c r="D155" s="1" t="s">
        <v>29</v>
      </c>
      <c r="E155" s="1">
        <v>26.46</v>
      </c>
    </row>
    <row r="156" spans="1:5">
      <c r="A156" s="1" t="s">
        <v>280</v>
      </c>
      <c r="B156" s="1" t="s">
        <v>281</v>
      </c>
      <c r="C156" s="10">
        <v>46122.409126567902</v>
      </c>
      <c r="D156" s="1" t="s">
        <v>7</v>
      </c>
      <c r="E156" s="1">
        <v>32.72</v>
      </c>
    </row>
    <row r="157" spans="1:5">
      <c r="A157" s="1" t="s">
        <v>282</v>
      </c>
      <c r="B157" s="1" t="s">
        <v>106</v>
      </c>
      <c r="C157" s="10">
        <v>46178.409126567902</v>
      </c>
      <c r="D157" s="1" t="s">
        <v>29</v>
      </c>
      <c r="E157" s="1">
        <v>27.62</v>
      </c>
    </row>
    <row r="158" spans="1:5">
      <c r="A158" s="1" t="s">
        <v>283</v>
      </c>
      <c r="B158" s="1" t="s">
        <v>284</v>
      </c>
      <c r="C158" s="10">
        <v>46021.409126567902</v>
      </c>
      <c r="D158" s="1" t="s">
        <v>7</v>
      </c>
      <c r="E158" s="1">
        <v>47.15</v>
      </c>
    </row>
    <row r="159" spans="1:5">
      <c r="A159" s="1" t="s">
        <v>285</v>
      </c>
      <c r="B159" s="1" t="s">
        <v>250</v>
      </c>
      <c r="C159" s="10">
        <v>46219.409126567902</v>
      </c>
      <c r="D159" s="1" t="s">
        <v>29</v>
      </c>
      <c r="E159" s="1">
        <v>23.4</v>
      </c>
    </row>
    <row r="160" spans="1:5">
      <c r="A160" s="1" t="s">
        <v>286</v>
      </c>
      <c r="B160" s="1" t="s">
        <v>287</v>
      </c>
      <c r="C160" s="10">
        <v>46001.409126567902</v>
      </c>
      <c r="D160" s="1" t="s">
        <v>7</v>
      </c>
      <c r="E160" s="1">
        <v>40.28</v>
      </c>
    </row>
    <row r="161" spans="1:5">
      <c r="A161" s="1" t="s">
        <v>288</v>
      </c>
      <c r="B161" s="1" t="s">
        <v>289</v>
      </c>
      <c r="C161" s="10">
        <v>46105.409126567902</v>
      </c>
      <c r="D161" s="1" t="s">
        <v>13</v>
      </c>
      <c r="E161" s="1">
        <v>11.42</v>
      </c>
    </row>
    <row r="162" spans="1:5">
      <c r="A162" s="1" t="s">
        <v>290</v>
      </c>
      <c r="B162" s="1" t="s">
        <v>31</v>
      </c>
      <c r="C162" s="10">
        <v>45980.409126567902</v>
      </c>
      <c r="D162" s="1" t="s">
        <v>50</v>
      </c>
      <c r="E162" s="1">
        <v>4.01</v>
      </c>
    </row>
    <row r="163" spans="1:5">
      <c r="A163" s="1" t="s">
        <v>291</v>
      </c>
      <c r="B163" s="1" t="s">
        <v>279</v>
      </c>
      <c r="C163" s="10">
        <v>45997.409126567902</v>
      </c>
      <c r="D163" s="1" t="s">
        <v>7</v>
      </c>
      <c r="E163" s="1">
        <v>38.17</v>
      </c>
    </row>
    <row r="164" spans="1:5">
      <c r="A164" s="1" t="s">
        <v>292</v>
      </c>
      <c r="B164" s="1" t="s">
        <v>190</v>
      </c>
      <c r="C164" s="10">
        <v>46069.409126567902</v>
      </c>
      <c r="D164" s="1" t="s">
        <v>7</v>
      </c>
      <c r="E164" s="1">
        <v>44.67</v>
      </c>
    </row>
    <row r="165" spans="1:5">
      <c r="A165" s="1" t="s">
        <v>293</v>
      </c>
      <c r="B165" s="1" t="s">
        <v>153</v>
      </c>
      <c r="C165" s="10">
        <v>46219.409126567902</v>
      </c>
      <c r="D165" s="1" t="s">
        <v>10</v>
      </c>
      <c r="E165" s="1">
        <v>15.58</v>
      </c>
    </row>
    <row r="166" spans="1:5">
      <c r="A166" s="1" t="s">
        <v>294</v>
      </c>
      <c r="B166" s="1" t="s">
        <v>106</v>
      </c>
      <c r="C166" s="10">
        <v>45963.409126567902</v>
      </c>
      <c r="D166" s="1" t="s">
        <v>7</v>
      </c>
      <c r="E166" s="1">
        <v>33.619999999999997</v>
      </c>
    </row>
    <row r="167" spans="1:5">
      <c r="A167" s="1" t="s">
        <v>295</v>
      </c>
      <c r="B167" s="1" t="s">
        <v>296</v>
      </c>
      <c r="C167" s="10">
        <v>46043.409126567902</v>
      </c>
      <c r="D167" s="1" t="s">
        <v>10</v>
      </c>
      <c r="E167" s="1">
        <v>17.079999999999998</v>
      </c>
    </row>
    <row r="168" spans="1:5">
      <c r="A168" s="1" t="s">
        <v>297</v>
      </c>
      <c r="B168" s="1" t="s">
        <v>289</v>
      </c>
      <c r="C168" s="10">
        <v>45979.409126567902</v>
      </c>
      <c r="D168" s="1" t="s">
        <v>16</v>
      </c>
      <c r="E168" s="1">
        <v>10.119999999999999</v>
      </c>
    </row>
    <row r="169" spans="1:5">
      <c r="A169" s="1" t="s">
        <v>298</v>
      </c>
      <c r="B169" s="1" t="s">
        <v>233</v>
      </c>
      <c r="C169" s="10">
        <v>46275.409126567902</v>
      </c>
      <c r="D169" s="1" t="s">
        <v>13</v>
      </c>
      <c r="E169" s="1">
        <v>13.64</v>
      </c>
    </row>
    <row r="170" spans="1:5">
      <c r="A170" s="1" t="s">
        <v>299</v>
      </c>
      <c r="B170" s="1" t="s">
        <v>300</v>
      </c>
      <c r="C170" s="10">
        <v>46221.409126567902</v>
      </c>
      <c r="D170" s="1" t="s">
        <v>10</v>
      </c>
      <c r="E170" s="1">
        <v>15.48</v>
      </c>
    </row>
    <row r="171" spans="1:5">
      <c r="A171" s="1" t="s">
        <v>301</v>
      </c>
      <c r="B171" s="1" t="s">
        <v>202</v>
      </c>
      <c r="C171" s="10">
        <v>46266.409126567902</v>
      </c>
      <c r="D171" s="1" t="s">
        <v>50</v>
      </c>
      <c r="E171" s="1">
        <v>5.12</v>
      </c>
    </row>
    <row r="172" spans="1:5">
      <c r="A172" s="1" t="s">
        <v>302</v>
      </c>
      <c r="B172" s="1" t="s">
        <v>303</v>
      </c>
      <c r="C172" s="10">
        <v>46063.409126567902</v>
      </c>
      <c r="D172" s="1" t="s">
        <v>13</v>
      </c>
      <c r="E172" s="1">
        <v>10.11</v>
      </c>
    </row>
    <row r="173" spans="1:5">
      <c r="A173" s="1" t="s">
        <v>304</v>
      </c>
      <c r="B173" s="1" t="s">
        <v>305</v>
      </c>
      <c r="C173" s="10">
        <v>46283.409126567902</v>
      </c>
      <c r="D173" s="1" t="s">
        <v>10</v>
      </c>
      <c r="E173" s="1">
        <v>13</v>
      </c>
    </row>
    <row r="174" spans="1:5">
      <c r="A174" s="1" t="s">
        <v>306</v>
      </c>
      <c r="B174" s="1" t="s">
        <v>307</v>
      </c>
      <c r="C174" s="10">
        <v>46166.409126567902</v>
      </c>
      <c r="D174" s="1" t="s">
        <v>13</v>
      </c>
      <c r="E174" s="1">
        <v>14.27</v>
      </c>
    </row>
    <row r="175" spans="1:5">
      <c r="A175" s="1" t="s">
        <v>308</v>
      </c>
      <c r="B175" s="1" t="s">
        <v>309</v>
      </c>
      <c r="C175" s="10">
        <v>46125.409126567902</v>
      </c>
      <c r="D175" s="1" t="s">
        <v>13</v>
      </c>
      <c r="E175" s="1">
        <v>10.7</v>
      </c>
    </row>
    <row r="176" spans="1:5">
      <c r="A176" s="1" t="s">
        <v>310</v>
      </c>
      <c r="B176" s="1" t="s">
        <v>281</v>
      </c>
      <c r="C176" s="10">
        <v>46160.409126567902</v>
      </c>
      <c r="D176" s="1" t="s">
        <v>13</v>
      </c>
      <c r="E176" s="1">
        <v>14.29</v>
      </c>
    </row>
    <row r="177" spans="1:5">
      <c r="A177" s="1" t="s">
        <v>311</v>
      </c>
      <c r="B177" s="1" t="s">
        <v>68</v>
      </c>
      <c r="C177" s="10">
        <v>46218.409126567902</v>
      </c>
      <c r="D177" s="1" t="s">
        <v>16</v>
      </c>
      <c r="E177" s="1">
        <v>10.130000000000001</v>
      </c>
    </row>
    <row r="178" spans="1:5">
      <c r="A178" s="1" t="s">
        <v>312</v>
      </c>
      <c r="B178" s="1" t="s">
        <v>313</v>
      </c>
      <c r="C178" s="10">
        <v>46056.409126567902</v>
      </c>
      <c r="D178" s="1" t="s">
        <v>50</v>
      </c>
      <c r="E178" s="1">
        <v>4.2699999999999996</v>
      </c>
    </row>
    <row r="179" spans="1:5">
      <c r="A179" s="1" t="s">
        <v>314</v>
      </c>
      <c r="B179" s="1" t="s">
        <v>315</v>
      </c>
      <c r="C179" s="10">
        <v>46051.409126567902</v>
      </c>
      <c r="D179" s="1" t="s">
        <v>29</v>
      </c>
      <c r="E179" s="1">
        <v>20.99</v>
      </c>
    </row>
    <row r="180" spans="1:5">
      <c r="A180" s="1" t="s">
        <v>316</v>
      </c>
      <c r="B180" s="1" t="s">
        <v>317</v>
      </c>
      <c r="C180" s="10">
        <v>46168.409126567902</v>
      </c>
      <c r="D180" s="1" t="s">
        <v>29</v>
      </c>
      <c r="E180" s="1">
        <v>22.09</v>
      </c>
    </row>
    <row r="181" spans="1:5">
      <c r="A181" s="1" t="s">
        <v>318</v>
      </c>
      <c r="B181" s="1" t="s">
        <v>233</v>
      </c>
      <c r="C181" s="10">
        <v>46194.409126567902</v>
      </c>
      <c r="D181" s="1" t="s">
        <v>10</v>
      </c>
      <c r="E181" s="1">
        <v>17.55</v>
      </c>
    </row>
    <row r="182" spans="1:5">
      <c r="A182" s="1" t="s">
        <v>319</v>
      </c>
      <c r="B182" s="1" t="s">
        <v>78</v>
      </c>
      <c r="C182" s="10">
        <v>46294.409126567902</v>
      </c>
      <c r="D182" s="1" t="s">
        <v>13</v>
      </c>
      <c r="E182" s="1">
        <v>11.59</v>
      </c>
    </row>
    <row r="183" spans="1:5">
      <c r="A183" s="1" t="s">
        <v>320</v>
      </c>
      <c r="B183" s="1" t="s">
        <v>321</v>
      </c>
      <c r="C183" s="10">
        <v>46133.409126567902</v>
      </c>
      <c r="D183" s="1" t="s">
        <v>10</v>
      </c>
      <c r="E183" s="1">
        <v>14.37</v>
      </c>
    </row>
    <row r="184" spans="1:5">
      <c r="A184" s="1" t="s">
        <v>322</v>
      </c>
      <c r="B184" s="1" t="s">
        <v>323</v>
      </c>
      <c r="C184" s="10">
        <v>46072.409126567902</v>
      </c>
      <c r="D184" s="1" t="s">
        <v>16</v>
      </c>
      <c r="E184" s="1">
        <v>9.25</v>
      </c>
    </row>
    <row r="185" spans="1:5">
      <c r="A185" s="1" t="s">
        <v>324</v>
      </c>
      <c r="B185" s="1" t="s">
        <v>325</v>
      </c>
      <c r="C185" s="10">
        <v>46253.409126567902</v>
      </c>
      <c r="D185" s="1" t="s">
        <v>16</v>
      </c>
      <c r="E185" s="1">
        <v>8.59</v>
      </c>
    </row>
    <row r="186" spans="1:5">
      <c r="A186" s="1" t="s">
        <v>326</v>
      </c>
      <c r="B186" s="1" t="s">
        <v>327</v>
      </c>
      <c r="C186" s="10">
        <v>46100.409126567902</v>
      </c>
      <c r="D186" s="1" t="s">
        <v>7</v>
      </c>
      <c r="E186" s="1">
        <v>39.81</v>
      </c>
    </row>
    <row r="187" spans="1:5">
      <c r="A187" s="1" t="s">
        <v>328</v>
      </c>
      <c r="B187" s="1" t="s">
        <v>329</v>
      </c>
      <c r="C187" s="10">
        <v>46160.409126567902</v>
      </c>
      <c r="D187" s="1" t="s">
        <v>16</v>
      </c>
      <c r="E187" s="1">
        <v>8.52</v>
      </c>
    </row>
    <row r="188" spans="1:5">
      <c r="A188" s="1" t="s">
        <v>330</v>
      </c>
      <c r="B188" s="1" t="s">
        <v>331</v>
      </c>
      <c r="C188" s="10">
        <v>46242.409126567902</v>
      </c>
      <c r="D188" s="1" t="s">
        <v>7</v>
      </c>
      <c r="E188" s="1">
        <v>45.37</v>
      </c>
    </row>
    <row r="189" spans="1:5">
      <c r="A189" s="1" t="s">
        <v>332</v>
      </c>
      <c r="B189" s="1" t="s">
        <v>82</v>
      </c>
      <c r="C189" s="10">
        <v>46169.409126567902</v>
      </c>
      <c r="D189" s="1" t="s">
        <v>50</v>
      </c>
      <c r="E189" s="1">
        <v>4.74</v>
      </c>
    </row>
    <row r="190" spans="1:5">
      <c r="A190" s="1" t="s">
        <v>333</v>
      </c>
      <c r="B190" s="1" t="s">
        <v>334</v>
      </c>
      <c r="C190" s="10">
        <v>46107.409126567902</v>
      </c>
      <c r="D190" s="1" t="s">
        <v>10</v>
      </c>
      <c r="E190" s="1">
        <v>14.25</v>
      </c>
    </row>
    <row r="191" spans="1:5">
      <c r="A191" s="1" t="s">
        <v>335</v>
      </c>
      <c r="B191" s="1" t="s">
        <v>241</v>
      </c>
      <c r="C191" s="10">
        <v>46087.409126567902</v>
      </c>
      <c r="D191" s="1" t="s">
        <v>50</v>
      </c>
      <c r="E191" s="1">
        <v>4.95</v>
      </c>
    </row>
    <row r="192" spans="1:5">
      <c r="A192" s="1" t="s">
        <v>336</v>
      </c>
      <c r="B192" s="1" t="s">
        <v>337</v>
      </c>
      <c r="C192" s="10">
        <v>46250.409126567902</v>
      </c>
      <c r="D192" s="1" t="s">
        <v>16</v>
      </c>
      <c r="E192" s="1">
        <v>9.7799999999999994</v>
      </c>
    </row>
    <row r="193" spans="1:5">
      <c r="A193" s="1" t="s">
        <v>338</v>
      </c>
      <c r="B193" s="1" t="s">
        <v>98</v>
      </c>
      <c r="C193" s="10">
        <v>46095.409126567902</v>
      </c>
      <c r="D193" s="1" t="s">
        <v>50</v>
      </c>
      <c r="E193" s="1">
        <v>5.99</v>
      </c>
    </row>
    <row r="194" spans="1:5">
      <c r="A194" s="1" t="s">
        <v>339</v>
      </c>
      <c r="B194" s="1" t="s">
        <v>340</v>
      </c>
      <c r="C194" s="10">
        <v>46031.409126567902</v>
      </c>
      <c r="D194" s="1" t="s">
        <v>50</v>
      </c>
      <c r="E194" s="1">
        <v>5.09</v>
      </c>
    </row>
    <row r="195" spans="1:5">
      <c r="A195" s="1" t="s">
        <v>341</v>
      </c>
      <c r="B195" s="1" t="s">
        <v>342</v>
      </c>
      <c r="C195" s="10">
        <v>46168.409126567902</v>
      </c>
      <c r="D195" s="1" t="s">
        <v>50</v>
      </c>
      <c r="E195" s="1">
        <v>4.18</v>
      </c>
    </row>
    <row r="196" spans="1:5">
      <c r="A196" s="1" t="s">
        <v>343</v>
      </c>
      <c r="B196" s="1" t="s">
        <v>344</v>
      </c>
      <c r="C196" s="10">
        <v>46115.409126567902</v>
      </c>
      <c r="D196" s="1" t="s">
        <v>16</v>
      </c>
      <c r="E196" s="1">
        <v>10.43</v>
      </c>
    </row>
    <row r="197" spans="1:5">
      <c r="A197" s="1" t="s">
        <v>345</v>
      </c>
      <c r="B197" s="1" t="s">
        <v>241</v>
      </c>
      <c r="C197" s="10">
        <v>46048.409126567902</v>
      </c>
      <c r="D197" s="1" t="s">
        <v>13</v>
      </c>
      <c r="E197" s="1">
        <v>10.33</v>
      </c>
    </row>
    <row r="198" spans="1:5">
      <c r="A198" s="1" t="s">
        <v>346</v>
      </c>
      <c r="B198" s="1" t="s">
        <v>98</v>
      </c>
      <c r="C198" s="10">
        <v>46253.409126567902</v>
      </c>
      <c r="D198" s="1" t="s">
        <v>50</v>
      </c>
      <c r="E198" s="1">
        <v>4.0599999999999996</v>
      </c>
    </row>
    <row r="199" spans="1:5">
      <c r="A199" s="1" t="s">
        <v>347</v>
      </c>
      <c r="B199" s="1" t="s">
        <v>12</v>
      </c>
      <c r="C199" s="10">
        <v>45987.409126567902</v>
      </c>
      <c r="D199" s="1" t="s">
        <v>7</v>
      </c>
      <c r="E199" s="1">
        <v>47.53</v>
      </c>
    </row>
    <row r="200" spans="1:5">
      <c r="A200" s="1" t="s">
        <v>348</v>
      </c>
      <c r="B200" s="1" t="s">
        <v>349</v>
      </c>
      <c r="C200" s="10">
        <v>46203.409126567902</v>
      </c>
      <c r="D200" s="1" t="s">
        <v>16</v>
      </c>
      <c r="E200" s="1">
        <v>11.09</v>
      </c>
    </row>
    <row r="201" spans="1:5">
      <c r="A201" s="1" t="s">
        <v>350</v>
      </c>
      <c r="B201" s="1" t="s">
        <v>351</v>
      </c>
      <c r="C201" s="10">
        <v>46230.409126567902</v>
      </c>
      <c r="D201" s="1" t="s">
        <v>50</v>
      </c>
      <c r="E201" s="1">
        <v>5.96</v>
      </c>
    </row>
    <row r="202" spans="1:5">
      <c r="A202" s="1" t="s">
        <v>352</v>
      </c>
      <c r="B202" s="1" t="s">
        <v>353</v>
      </c>
      <c r="C202" s="10">
        <v>46048.409126567902</v>
      </c>
      <c r="D202" s="1" t="s">
        <v>13</v>
      </c>
      <c r="E202" s="1">
        <v>11.89</v>
      </c>
    </row>
    <row r="203" spans="1:5">
      <c r="A203" s="1" t="s">
        <v>354</v>
      </c>
      <c r="B203" s="1" t="s">
        <v>355</v>
      </c>
      <c r="C203" s="10">
        <v>46036.409126567902</v>
      </c>
      <c r="D203" s="1" t="s">
        <v>16</v>
      </c>
      <c r="E203" s="1">
        <v>10.130000000000001</v>
      </c>
    </row>
    <row r="204" spans="1:5">
      <c r="A204" s="1" t="s">
        <v>356</v>
      </c>
      <c r="B204" s="1" t="s">
        <v>357</v>
      </c>
      <c r="C204" s="10">
        <v>46048.409126567902</v>
      </c>
      <c r="D204" s="1" t="s">
        <v>29</v>
      </c>
      <c r="E204" s="1">
        <v>21.68</v>
      </c>
    </row>
    <row r="205" spans="1:5">
      <c r="A205" s="1" t="s">
        <v>358</v>
      </c>
      <c r="B205" s="1" t="s">
        <v>359</v>
      </c>
      <c r="C205" s="10">
        <v>46016.409126567902</v>
      </c>
      <c r="D205" s="1" t="s">
        <v>13</v>
      </c>
      <c r="E205" s="1">
        <v>10.79</v>
      </c>
    </row>
    <row r="206" spans="1:5">
      <c r="A206" s="1" t="s">
        <v>360</v>
      </c>
      <c r="B206" s="1" t="s">
        <v>64</v>
      </c>
      <c r="C206" s="10">
        <v>46122.409126567902</v>
      </c>
      <c r="D206" s="1" t="s">
        <v>7</v>
      </c>
      <c r="E206" s="1">
        <v>45.42</v>
      </c>
    </row>
    <row r="207" spans="1:5">
      <c r="A207" s="1" t="s">
        <v>361</v>
      </c>
      <c r="B207" s="1" t="s">
        <v>124</v>
      </c>
      <c r="C207" s="10">
        <v>46048.409126567902</v>
      </c>
      <c r="D207" s="1" t="s">
        <v>50</v>
      </c>
      <c r="E207" s="1">
        <v>4.71</v>
      </c>
    </row>
    <row r="208" spans="1:5">
      <c r="A208" s="1" t="s">
        <v>362</v>
      </c>
      <c r="B208" s="1" t="s">
        <v>223</v>
      </c>
      <c r="C208" s="10">
        <v>45937.409126567902</v>
      </c>
      <c r="D208" s="1" t="s">
        <v>29</v>
      </c>
      <c r="E208" s="1">
        <v>28.27</v>
      </c>
    </row>
    <row r="209" spans="1:5">
      <c r="A209" s="1" t="s">
        <v>363</v>
      </c>
      <c r="B209" s="1" t="s">
        <v>140</v>
      </c>
      <c r="C209" s="10">
        <v>46065.409126567902</v>
      </c>
      <c r="D209" s="1" t="s">
        <v>29</v>
      </c>
      <c r="E209" s="1">
        <v>27.09</v>
      </c>
    </row>
    <row r="210" spans="1:5">
      <c r="A210" s="1" t="s">
        <v>364</v>
      </c>
      <c r="B210" s="1" t="s">
        <v>219</v>
      </c>
      <c r="C210" s="10">
        <v>46155.409126567902</v>
      </c>
      <c r="D210" s="1" t="s">
        <v>16</v>
      </c>
      <c r="E210" s="1">
        <v>8.7100000000000009</v>
      </c>
    </row>
    <row r="211" spans="1:5">
      <c r="A211" s="1" t="s">
        <v>365</v>
      </c>
      <c r="B211" s="1" t="s">
        <v>334</v>
      </c>
      <c r="C211" s="10">
        <v>45989.409126567902</v>
      </c>
      <c r="D211" s="1" t="s">
        <v>29</v>
      </c>
      <c r="E211" s="1">
        <v>25.07</v>
      </c>
    </row>
    <row r="212" spans="1:5">
      <c r="A212" s="1" t="s">
        <v>366</v>
      </c>
      <c r="B212" s="1" t="s">
        <v>70</v>
      </c>
      <c r="C212" s="10">
        <v>46278.409126567902</v>
      </c>
      <c r="D212" s="1" t="s">
        <v>7</v>
      </c>
      <c r="E212" s="1">
        <v>42.84</v>
      </c>
    </row>
    <row r="213" spans="1:5">
      <c r="A213" s="1" t="s">
        <v>367</v>
      </c>
      <c r="B213" s="1" t="s">
        <v>368</v>
      </c>
      <c r="C213" s="10">
        <v>46159.409126567902</v>
      </c>
      <c r="D213" s="1" t="s">
        <v>7</v>
      </c>
      <c r="E213" s="1">
        <v>35.76</v>
      </c>
    </row>
    <row r="214" spans="1:5">
      <c r="A214" s="1" t="s">
        <v>369</v>
      </c>
      <c r="B214" s="1" t="s">
        <v>370</v>
      </c>
      <c r="C214" s="10">
        <v>46160.409126567902</v>
      </c>
      <c r="D214" s="1" t="s">
        <v>10</v>
      </c>
      <c r="E214" s="1">
        <v>16.98</v>
      </c>
    </row>
    <row r="215" spans="1:5">
      <c r="A215" s="1" t="s">
        <v>371</v>
      </c>
      <c r="B215" s="1" t="s">
        <v>78</v>
      </c>
      <c r="C215" s="10">
        <v>46061.409126567902</v>
      </c>
      <c r="D215" s="1" t="s">
        <v>7</v>
      </c>
      <c r="E215" s="1">
        <v>40.72</v>
      </c>
    </row>
    <row r="216" spans="1:5">
      <c r="A216" s="1" t="s">
        <v>372</v>
      </c>
      <c r="B216" s="1" t="s">
        <v>98</v>
      </c>
      <c r="C216" s="10">
        <v>46065.409126567902</v>
      </c>
      <c r="D216" s="1" t="s">
        <v>13</v>
      </c>
      <c r="E216" s="1">
        <v>10.39</v>
      </c>
    </row>
    <row r="217" spans="1:5">
      <c r="A217" s="1" t="s">
        <v>373</v>
      </c>
      <c r="B217" s="1" t="s">
        <v>374</v>
      </c>
      <c r="C217" s="10">
        <v>45988.409126567902</v>
      </c>
      <c r="D217" s="1" t="s">
        <v>29</v>
      </c>
      <c r="E217" s="1">
        <v>25.83</v>
      </c>
    </row>
    <row r="218" spans="1:5">
      <c r="A218" s="1" t="s">
        <v>375</v>
      </c>
      <c r="B218" s="1" t="s">
        <v>74</v>
      </c>
      <c r="C218" s="10">
        <v>46107.409126567902</v>
      </c>
      <c r="D218" s="1" t="s">
        <v>7</v>
      </c>
      <c r="E218" s="1">
        <v>48</v>
      </c>
    </row>
    <row r="219" spans="1:5">
      <c r="A219" s="1" t="s">
        <v>376</v>
      </c>
      <c r="B219" s="1" t="s">
        <v>238</v>
      </c>
      <c r="C219" s="10">
        <v>46153.409126567902</v>
      </c>
      <c r="D219" s="1" t="s">
        <v>16</v>
      </c>
      <c r="E219" s="1">
        <v>8.6</v>
      </c>
    </row>
    <row r="220" spans="1:5">
      <c r="A220" s="1" t="s">
        <v>377</v>
      </c>
      <c r="B220" s="1" t="s">
        <v>378</v>
      </c>
      <c r="C220" s="10">
        <v>46095.409126567902</v>
      </c>
      <c r="D220" s="1" t="s">
        <v>10</v>
      </c>
      <c r="E220" s="1">
        <v>16.899999999999999</v>
      </c>
    </row>
    <row r="221" spans="1:5">
      <c r="A221" s="1" t="s">
        <v>379</v>
      </c>
      <c r="B221" s="1" t="s">
        <v>380</v>
      </c>
      <c r="C221" s="10">
        <v>46133.409126567902</v>
      </c>
      <c r="D221" s="1" t="s">
        <v>29</v>
      </c>
      <c r="E221" s="1">
        <v>22.07</v>
      </c>
    </row>
    <row r="222" spans="1:5">
      <c r="A222" s="1" t="s">
        <v>381</v>
      </c>
      <c r="B222" s="1" t="s">
        <v>382</v>
      </c>
      <c r="C222" s="10">
        <v>46182.409126567902</v>
      </c>
      <c r="D222" s="1" t="s">
        <v>10</v>
      </c>
      <c r="E222" s="1">
        <v>16.690000000000001</v>
      </c>
    </row>
    <row r="223" spans="1:5">
      <c r="A223" s="1" t="s">
        <v>383</v>
      </c>
      <c r="B223" s="1" t="s">
        <v>9</v>
      </c>
      <c r="C223" s="10">
        <v>46259.409126567902</v>
      </c>
      <c r="D223" s="1" t="s">
        <v>29</v>
      </c>
      <c r="E223" s="1">
        <v>27.35</v>
      </c>
    </row>
    <row r="224" spans="1:5">
      <c r="A224" s="1" t="s">
        <v>384</v>
      </c>
      <c r="B224" s="1" t="s">
        <v>385</v>
      </c>
      <c r="C224" s="10">
        <v>46138.409126567902</v>
      </c>
      <c r="D224" s="1" t="s">
        <v>16</v>
      </c>
      <c r="E224" s="1">
        <v>9.1999999999999993</v>
      </c>
    </row>
    <row r="225" spans="1:5">
      <c r="A225" s="1" t="s">
        <v>386</v>
      </c>
      <c r="B225" s="1" t="s">
        <v>387</v>
      </c>
      <c r="C225" s="10">
        <v>46119.409126567902</v>
      </c>
      <c r="D225" s="1" t="s">
        <v>10</v>
      </c>
      <c r="E225" s="1">
        <v>13.95</v>
      </c>
    </row>
    <row r="226" spans="1:5">
      <c r="A226" s="1" t="s">
        <v>388</v>
      </c>
      <c r="B226" s="1" t="s">
        <v>389</v>
      </c>
      <c r="C226" s="10">
        <v>46058.409126567902</v>
      </c>
      <c r="D226" s="1" t="s">
        <v>50</v>
      </c>
      <c r="E226" s="1">
        <v>5.59</v>
      </c>
    </row>
    <row r="227" spans="1:5">
      <c r="A227" s="1" t="s">
        <v>390</v>
      </c>
      <c r="B227" s="1" t="s">
        <v>391</v>
      </c>
      <c r="C227" s="10">
        <v>46190.409126567902</v>
      </c>
      <c r="D227" s="1" t="s">
        <v>13</v>
      </c>
      <c r="E227" s="1">
        <v>11.81</v>
      </c>
    </row>
    <row r="228" spans="1:5">
      <c r="A228" s="1" t="s">
        <v>392</v>
      </c>
      <c r="B228" s="1" t="s">
        <v>393</v>
      </c>
      <c r="C228" s="10">
        <v>46229.409126567902</v>
      </c>
      <c r="D228" s="1" t="s">
        <v>13</v>
      </c>
      <c r="E228" s="1">
        <v>13.11</v>
      </c>
    </row>
    <row r="229" spans="1:5">
      <c r="A229" s="1" t="s">
        <v>394</v>
      </c>
      <c r="B229" s="1" t="s">
        <v>281</v>
      </c>
      <c r="C229" s="10">
        <v>46215.409126567902</v>
      </c>
      <c r="D229" s="1" t="s">
        <v>29</v>
      </c>
      <c r="E229" s="1">
        <v>21.48</v>
      </c>
    </row>
    <row r="230" spans="1:5">
      <c r="A230" s="1" t="s">
        <v>395</v>
      </c>
      <c r="B230" s="1" t="s">
        <v>396</v>
      </c>
      <c r="C230" s="10">
        <v>46260.409126567902</v>
      </c>
      <c r="D230" s="1" t="s">
        <v>50</v>
      </c>
      <c r="E230" s="1">
        <v>5.71</v>
      </c>
    </row>
    <row r="231" spans="1:5">
      <c r="A231" s="1" t="s">
        <v>397</v>
      </c>
      <c r="B231" s="1" t="s">
        <v>398</v>
      </c>
      <c r="C231" s="10">
        <v>46033.409126567902</v>
      </c>
      <c r="D231" s="1" t="s">
        <v>10</v>
      </c>
      <c r="E231" s="1">
        <v>16.27</v>
      </c>
    </row>
    <row r="232" spans="1:5">
      <c r="A232" s="1" t="s">
        <v>399</v>
      </c>
      <c r="B232" s="1" t="s">
        <v>400</v>
      </c>
      <c r="C232" s="10">
        <v>46133.409126567902</v>
      </c>
      <c r="D232" s="1" t="s">
        <v>50</v>
      </c>
      <c r="E232" s="1">
        <v>5.81</v>
      </c>
    </row>
    <row r="233" spans="1:5">
      <c r="A233" s="1" t="s">
        <v>401</v>
      </c>
      <c r="B233" s="1" t="s">
        <v>402</v>
      </c>
      <c r="C233" s="10">
        <v>46175.409126567902</v>
      </c>
      <c r="D233" s="1" t="s">
        <v>50</v>
      </c>
      <c r="E233" s="1">
        <v>4.26</v>
      </c>
    </row>
    <row r="234" spans="1:5">
      <c r="A234" s="1" t="s">
        <v>403</v>
      </c>
      <c r="B234" s="1" t="s">
        <v>192</v>
      </c>
      <c r="C234" s="10">
        <v>46079.409126567902</v>
      </c>
      <c r="D234" s="1" t="s">
        <v>10</v>
      </c>
      <c r="E234" s="1">
        <v>15.56</v>
      </c>
    </row>
    <row r="235" spans="1:5">
      <c r="A235" s="1" t="s">
        <v>404</v>
      </c>
      <c r="B235" s="1" t="s">
        <v>405</v>
      </c>
      <c r="C235" s="10">
        <v>46032.409126567902</v>
      </c>
      <c r="D235" s="1" t="s">
        <v>16</v>
      </c>
      <c r="E235" s="1">
        <v>10.4</v>
      </c>
    </row>
    <row r="236" spans="1:5">
      <c r="A236" s="1" t="s">
        <v>406</v>
      </c>
      <c r="B236" s="1" t="s">
        <v>407</v>
      </c>
      <c r="C236" s="10">
        <v>46136.409126567902</v>
      </c>
      <c r="D236" s="1" t="s">
        <v>50</v>
      </c>
      <c r="E236" s="1">
        <v>4.71</v>
      </c>
    </row>
    <row r="237" spans="1:5">
      <c r="A237" s="1" t="s">
        <v>408</v>
      </c>
      <c r="B237" s="1" t="s">
        <v>409</v>
      </c>
      <c r="C237" s="10">
        <v>46059.409126567902</v>
      </c>
      <c r="D237" s="1" t="s">
        <v>50</v>
      </c>
      <c r="E237" s="1">
        <v>4.92</v>
      </c>
    </row>
    <row r="238" spans="1:5">
      <c r="A238" s="1" t="s">
        <v>410</v>
      </c>
      <c r="B238" s="1" t="s">
        <v>411</v>
      </c>
      <c r="C238" s="10">
        <v>46122.409126567902</v>
      </c>
      <c r="D238" s="1" t="s">
        <v>16</v>
      </c>
      <c r="E238" s="1">
        <v>8.15</v>
      </c>
    </row>
    <row r="239" spans="1:5">
      <c r="A239" s="1" t="s">
        <v>412</v>
      </c>
      <c r="B239" s="1" t="s">
        <v>18</v>
      </c>
      <c r="C239" s="10">
        <v>46261.409126567902</v>
      </c>
      <c r="D239" s="1" t="s">
        <v>50</v>
      </c>
      <c r="E239" s="1">
        <v>5.49</v>
      </c>
    </row>
    <row r="240" spans="1:5">
      <c r="A240" s="1" t="s">
        <v>413</v>
      </c>
      <c r="B240" s="1" t="s">
        <v>213</v>
      </c>
      <c r="C240" s="10">
        <v>46284.409126567902</v>
      </c>
      <c r="D240" s="1" t="s">
        <v>50</v>
      </c>
      <c r="E240" s="1">
        <v>5.0999999999999996</v>
      </c>
    </row>
    <row r="241" spans="1:5">
      <c r="A241" s="1" t="s">
        <v>414</v>
      </c>
      <c r="B241" s="1" t="s">
        <v>415</v>
      </c>
      <c r="C241" s="10">
        <v>46194.409126567902</v>
      </c>
      <c r="D241" s="1" t="s">
        <v>50</v>
      </c>
      <c r="E241" s="1">
        <v>4.12</v>
      </c>
    </row>
    <row r="242" spans="1:5">
      <c r="A242" s="1" t="s">
        <v>416</v>
      </c>
      <c r="B242" s="1" t="s">
        <v>329</v>
      </c>
      <c r="C242" s="10">
        <v>46083.409126567902</v>
      </c>
      <c r="D242" s="1" t="s">
        <v>13</v>
      </c>
      <c r="E242" s="1">
        <v>12.87</v>
      </c>
    </row>
    <row r="243" spans="1:5">
      <c r="A243" s="1" t="s">
        <v>417</v>
      </c>
      <c r="B243" s="1" t="s">
        <v>418</v>
      </c>
      <c r="C243" s="10">
        <v>46187.409126567902</v>
      </c>
      <c r="D243" s="1" t="s">
        <v>7</v>
      </c>
      <c r="E243" s="1">
        <v>39.47</v>
      </c>
    </row>
    <row r="244" spans="1:5">
      <c r="A244" s="1" t="s">
        <v>419</v>
      </c>
      <c r="B244" s="1" t="s">
        <v>420</v>
      </c>
      <c r="C244" s="10">
        <v>46281.409126567902</v>
      </c>
      <c r="D244" s="1" t="s">
        <v>16</v>
      </c>
      <c r="E244" s="1">
        <v>8.14</v>
      </c>
    </row>
    <row r="245" spans="1:5">
      <c r="A245" s="1" t="s">
        <v>421</v>
      </c>
      <c r="B245" s="1" t="s">
        <v>422</v>
      </c>
      <c r="C245" s="10">
        <v>46082.409126567902</v>
      </c>
      <c r="D245" s="1" t="s">
        <v>50</v>
      </c>
      <c r="E245" s="1">
        <v>5.94</v>
      </c>
    </row>
    <row r="246" spans="1:5">
      <c r="A246" s="1" t="s">
        <v>423</v>
      </c>
      <c r="B246" s="1" t="s">
        <v>424</v>
      </c>
      <c r="C246" s="10">
        <v>46083.409126567902</v>
      </c>
      <c r="D246" s="1" t="s">
        <v>13</v>
      </c>
      <c r="E246" s="1">
        <v>14.16</v>
      </c>
    </row>
    <row r="247" spans="1:5">
      <c r="A247" s="1" t="s">
        <v>425</v>
      </c>
      <c r="B247" s="1" t="s">
        <v>246</v>
      </c>
      <c r="C247" s="10">
        <v>46287.409126567902</v>
      </c>
      <c r="D247" s="1" t="s">
        <v>16</v>
      </c>
      <c r="E247" s="1">
        <v>10.050000000000001</v>
      </c>
    </row>
    <row r="248" spans="1:5">
      <c r="A248" s="1" t="s">
        <v>426</v>
      </c>
      <c r="B248" s="1" t="s">
        <v>309</v>
      </c>
      <c r="C248" s="10">
        <v>46134.409126567902</v>
      </c>
      <c r="D248" s="1" t="s">
        <v>29</v>
      </c>
      <c r="E248" s="1">
        <v>20.94</v>
      </c>
    </row>
    <row r="249" spans="1:5">
      <c r="A249" s="1" t="s">
        <v>427</v>
      </c>
      <c r="B249" s="1" t="s">
        <v>374</v>
      </c>
      <c r="C249" s="10">
        <v>46243.409126567902</v>
      </c>
      <c r="D249" s="1" t="s">
        <v>29</v>
      </c>
      <c r="E249" s="1">
        <v>27.55</v>
      </c>
    </row>
    <row r="250" spans="1:5">
      <c r="A250" s="1" t="s">
        <v>428</v>
      </c>
      <c r="B250" s="1" t="s">
        <v>429</v>
      </c>
      <c r="C250" s="10">
        <v>46063.409126567902</v>
      </c>
      <c r="D250" s="1" t="s">
        <v>50</v>
      </c>
      <c r="E250" s="1">
        <v>4.9800000000000004</v>
      </c>
    </row>
    <row r="251" spans="1:5">
      <c r="A251" s="1" t="s">
        <v>430</v>
      </c>
      <c r="B251" s="1" t="s">
        <v>303</v>
      </c>
      <c r="C251" s="10">
        <v>45974.409126567902</v>
      </c>
      <c r="D251" s="1" t="s">
        <v>13</v>
      </c>
      <c r="E251" s="1">
        <v>11.05</v>
      </c>
    </row>
    <row r="252" spans="1:5">
      <c r="A252" s="1" t="s">
        <v>431</v>
      </c>
      <c r="B252" s="1" t="s">
        <v>266</v>
      </c>
      <c r="C252" s="10">
        <v>46273.409126567902</v>
      </c>
      <c r="D252" s="1" t="s">
        <v>13</v>
      </c>
      <c r="E252" s="1">
        <v>11.96</v>
      </c>
    </row>
    <row r="253" spans="1:5">
      <c r="A253" s="1" t="s">
        <v>432</v>
      </c>
      <c r="B253" s="1" t="s">
        <v>300</v>
      </c>
      <c r="C253" s="10">
        <v>46295.409126567902</v>
      </c>
      <c r="D253" s="1" t="s">
        <v>16</v>
      </c>
      <c r="E253" s="1">
        <v>10.09</v>
      </c>
    </row>
    <row r="254" spans="1:5">
      <c r="A254" s="1" t="s">
        <v>433</v>
      </c>
      <c r="B254" s="1" t="s">
        <v>434</v>
      </c>
      <c r="C254" s="10">
        <v>46064.409126567902</v>
      </c>
      <c r="D254" s="1" t="s">
        <v>16</v>
      </c>
      <c r="E254" s="1">
        <v>10.25</v>
      </c>
    </row>
    <row r="255" spans="1:5">
      <c r="A255" s="1" t="s">
        <v>435</v>
      </c>
      <c r="B255" s="1" t="s">
        <v>177</v>
      </c>
      <c r="C255" s="10">
        <v>46202.409126567902</v>
      </c>
      <c r="D255" s="1" t="s">
        <v>13</v>
      </c>
      <c r="E255" s="1">
        <v>11.72</v>
      </c>
    </row>
    <row r="256" spans="1:5">
      <c r="A256" s="1" t="s">
        <v>436</v>
      </c>
      <c r="B256" s="1" t="s">
        <v>434</v>
      </c>
      <c r="C256" s="10">
        <v>46086.409126567902</v>
      </c>
      <c r="D256" s="1" t="s">
        <v>16</v>
      </c>
      <c r="E256" s="1">
        <v>10.42</v>
      </c>
    </row>
    <row r="257" spans="1:5">
      <c r="A257" s="1" t="s">
        <v>437</v>
      </c>
      <c r="B257" s="1" t="s">
        <v>96</v>
      </c>
      <c r="C257" s="10">
        <v>46233.409126567902</v>
      </c>
      <c r="D257" s="1" t="s">
        <v>13</v>
      </c>
      <c r="E257" s="1">
        <v>14.01</v>
      </c>
    </row>
    <row r="258" spans="1:5">
      <c r="A258" s="1" t="s">
        <v>438</v>
      </c>
      <c r="B258" s="1" t="s">
        <v>439</v>
      </c>
      <c r="C258" s="10">
        <v>46034.409126567902</v>
      </c>
      <c r="D258" s="1" t="s">
        <v>7</v>
      </c>
      <c r="E258" s="1">
        <v>37.799999999999997</v>
      </c>
    </row>
    <row r="259" spans="1:5">
      <c r="A259" s="1" t="s">
        <v>440</v>
      </c>
      <c r="B259" s="1" t="s">
        <v>441</v>
      </c>
      <c r="C259" s="10">
        <v>46198.409126567902</v>
      </c>
      <c r="D259" s="1" t="s">
        <v>13</v>
      </c>
      <c r="E259" s="1">
        <v>13.08</v>
      </c>
    </row>
    <row r="260" spans="1:5">
      <c r="A260" s="1" t="s">
        <v>442</v>
      </c>
      <c r="B260" s="1" t="s">
        <v>86</v>
      </c>
      <c r="C260" s="10">
        <v>46187.409126567902</v>
      </c>
      <c r="D260" s="1" t="s">
        <v>29</v>
      </c>
      <c r="E260" s="1">
        <v>28.94</v>
      </c>
    </row>
    <row r="261" spans="1:5">
      <c r="A261" s="1" t="s">
        <v>443</v>
      </c>
      <c r="B261" s="1" t="s">
        <v>444</v>
      </c>
      <c r="C261" s="10">
        <v>46079.409126567902</v>
      </c>
      <c r="D261" s="1" t="s">
        <v>16</v>
      </c>
      <c r="E261" s="1">
        <v>9.82</v>
      </c>
    </row>
    <row r="262" spans="1:5">
      <c r="A262" s="1" t="s">
        <v>445</v>
      </c>
      <c r="B262" s="1" t="s">
        <v>446</v>
      </c>
      <c r="C262" s="10">
        <v>46281.409126567902</v>
      </c>
      <c r="D262" s="1" t="s">
        <v>13</v>
      </c>
      <c r="E262" s="1">
        <v>11.73</v>
      </c>
    </row>
    <row r="263" spans="1:5">
      <c r="A263" s="1" t="s">
        <v>447</v>
      </c>
      <c r="B263" s="1" t="s">
        <v>448</v>
      </c>
      <c r="C263" s="10">
        <v>46047.409126567902</v>
      </c>
      <c r="D263" s="1" t="s">
        <v>13</v>
      </c>
      <c r="E263" s="1">
        <v>12.49</v>
      </c>
    </row>
    <row r="264" spans="1:5">
      <c r="A264" s="1" t="s">
        <v>449</v>
      </c>
      <c r="B264" s="1" t="s">
        <v>450</v>
      </c>
      <c r="C264" s="10">
        <v>45995.409126567902</v>
      </c>
      <c r="D264" s="1" t="s">
        <v>16</v>
      </c>
      <c r="E264" s="1">
        <v>10.37</v>
      </c>
    </row>
    <row r="265" spans="1:5">
      <c r="A265" s="1" t="s">
        <v>451</v>
      </c>
      <c r="B265" s="1" t="s">
        <v>452</v>
      </c>
      <c r="C265" s="10">
        <v>45937.409126567902</v>
      </c>
      <c r="D265" s="1" t="s">
        <v>7</v>
      </c>
      <c r="E265" s="1">
        <v>44.91</v>
      </c>
    </row>
    <row r="266" spans="1:5">
      <c r="A266" s="1" t="s">
        <v>453</v>
      </c>
      <c r="B266" s="1" t="s">
        <v>454</v>
      </c>
      <c r="C266" s="10">
        <v>46239.409126567902</v>
      </c>
      <c r="D266" s="1" t="s">
        <v>7</v>
      </c>
      <c r="E266" s="1">
        <v>39.619999999999997</v>
      </c>
    </row>
    <row r="267" spans="1:5">
      <c r="A267" s="1" t="s">
        <v>455</v>
      </c>
      <c r="B267" s="1" t="s">
        <v>250</v>
      </c>
      <c r="C267" s="10">
        <v>46189.409126567902</v>
      </c>
      <c r="D267" s="1" t="s">
        <v>16</v>
      </c>
      <c r="E267" s="1">
        <v>11.98</v>
      </c>
    </row>
    <row r="268" spans="1:5">
      <c r="A268" s="1" t="s">
        <v>456</v>
      </c>
      <c r="B268" s="1" t="s">
        <v>225</v>
      </c>
      <c r="C268" s="10">
        <v>46075.409126567902</v>
      </c>
      <c r="D268" s="1" t="s">
        <v>10</v>
      </c>
      <c r="E268" s="1">
        <v>12.36</v>
      </c>
    </row>
    <row r="269" spans="1:5">
      <c r="A269" s="1" t="s">
        <v>457</v>
      </c>
      <c r="B269" s="1" t="s">
        <v>458</v>
      </c>
      <c r="C269" s="10">
        <v>45972.409126567902</v>
      </c>
      <c r="D269" s="1" t="s">
        <v>16</v>
      </c>
      <c r="E269" s="1">
        <v>8.01</v>
      </c>
    </row>
    <row r="270" spans="1:5">
      <c r="A270" s="1" t="s">
        <v>459</v>
      </c>
      <c r="B270" s="1" t="s">
        <v>460</v>
      </c>
      <c r="C270" s="10">
        <v>46095.409126567902</v>
      </c>
      <c r="D270" s="1" t="s">
        <v>16</v>
      </c>
      <c r="E270" s="1">
        <v>10.56</v>
      </c>
    </row>
    <row r="271" spans="1:5">
      <c r="A271" s="1" t="s">
        <v>461</v>
      </c>
      <c r="B271" s="1" t="s">
        <v>303</v>
      </c>
      <c r="C271" s="10">
        <v>45944.409126567902</v>
      </c>
      <c r="D271" s="1" t="s">
        <v>7</v>
      </c>
      <c r="E271" s="1">
        <v>36.770000000000003</v>
      </c>
    </row>
    <row r="272" spans="1:5">
      <c r="A272" s="1" t="s">
        <v>462</v>
      </c>
      <c r="B272" s="1" t="s">
        <v>213</v>
      </c>
      <c r="C272" s="10">
        <v>46168.409126567902</v>
      </c>
      <c r="D272" s="1" t="s">
        <v>7</v>
      </c>
      <c r="E272" s="1">
        <v>35.85</v>
      </c>
    </row>
    <row r="273" spans="1:5">
      <c r="A273" s="1" t="s">
        <v>463</v>
      </c>
      <c r="B273" s="1" t="s">
        <v>260</v>
      </c>
      <c r="C273" s="10">
        <v>46034.409126567902</v>
      </c>
      <c r="D273" s="1" t="s">
        <v>16</v>
      </c>
      <c r="E273" s="1">
        <v>9.25</v>
      </c>
    </row>
    <row r="274" spans="1:5">
      <c r="A274" s="1" t="s">
        <v>464</v>
      </c>
      <c r="B274" s="1" t="s">
        <v>465</v>
      </c>
      <c r="C274" s="10">
        <v>46082.409126567902</v>
      </c>
      <c r="D274" s="1" t="s">
        <v>16</v>
      </c>
      <c r="E274" s="1">
        <v>9.02</v>
      </c>
    </row>
    <row r="275" spans="1:5">
      <c r="A275" s="1" t="s">
        <v>466</v>
      </c>
      <c r="B275" s="1" t="s">
        <v>266</v>
      </c>
      <c r="C275" s="10">
        <v>46239.409126567902</v>
      </c>
      <c r="D275" s="1" t="s">
        <v>16</v>
      </c>
      <c r="E275" s="1">
        <v>8.1199999999999992</v>
      </c>
    </row>
    <row r="276" spans="1:5">
      <c r="A276" s="1" t="s">
        <v>467</v>
      </c>
      <c r="B276" s="1" t="s">
        <v>88</v>
      </c>
      <c r="C276" s="10">
        <v>46143.409126567902</v>
      </c>
      <c r="D276" s="1" t="s">
        <v>7</v>
      </c>
      <c r="E276" s="1">
        <v>47.54</v>
      </c>
    </row>
    <row r="277" spans="1:5">
      <c r="A277" s="1" t="s">
        <v>468</v>
      </c>
      <c r="B277" s="1" t="s">
        <v>469</v>
      </c>
      <c r="C277" s="10">
        <v>46066.409126567902</v>
      </c>
      <c r="D277" s="1" t="s">
        <v>16</v>
      </c>
      <c r="E277" s="1">
        <v>8.8800000000000008</v>
      </c>
    </row>
    <row r="278" spans="1:5">
      <c r="A278" s="1" t="s">
        <v>470</v>
      </c>
      <c r="B278" s="1" t="s">
        <v>471</v>
      </c>
      <c r="C278" s="10">
        <v>46087.409126567902</v>
      </c>
      <c r="D278" s="1" t="s">
        <v>16</v>
      </c>
      <c r="E278" s="1">
        <v>10.94</v>
      </c>
    </row>
    <row r="279" spans="1:5">
      <c r="A279" s="1" t="s">
        <v>472</v>
      </c>
      <c r="B279" s="1" t="s">
        <v>264</v>
      </c>
      <c r="C279" s="10">
        <v>45989.409126567902</v>
      </c>
      <c r="D279" s="1" t="s">
        <v>50</v>
      </c>
      <c r="E279" s="1">
        <v>5.53</v>
      </c>
    </row>
    <row r="280" spans="1:5">
      <c r="A280" s="1" t="s">
        <v>473</v>
      </c>
      <c r="B280" s="1" t="s">
        <v>74</v>
      </c>
      <c r="C280" s="10">
        <v>46055.409126567902</v>
      </c>
      <c r="D280" s="1" t="s">
        <v>10</v>
      </c>
      <c r="E280" s="1">
        <v>17.579999999999998</v>
      </c>
    </row>
    <row r="281" spans="1:5">
      <c r="A281" s="1" t="s">
        <v>474</v>
      </c>
      <c r="B281" s="1" t="s">
        <v>110</v>
      </c>
      <c r="C281" s="10">
        <v>46096.409126567902</v>
      </c>
      <c r="D281" s="1" t="s">
        <v>29</v>
      </c>
      <c r="E281" s="1">
        <v>20.309999999999999</v>
      </c>
    </row>
    <row r="282" spans="1:5">
      <c r="A282" s="1" t="s">
        <v>475</v>
      </c>
      <c r="B282" s="1" t="s">
        <v>52</v>
      </c>
      <c r="C282" s="10">
        <v>46051.409126567902</v>
      </c>
      <c r="D282" s="1" t="s">
        <v>10</v>
      </c>
      <c r="E282" s="1">
        <v>17.23</v>
      </c>
    </row>
    <row r="283" spans="1:5">
      <c r="A283" s="1" t="s">
        <v>476</v>
      </c>
      <c r="B283" s="1" t="s">
        <v>344</v>
      </c>
      <c r="C283" s="10">
        <v>46010.409126567902</v>
      </c>
      <c r="D283" s="1" t="s">
        <v>50</v>
      </c>
      <c r="E283" s="1">
        <v>5.05</v>
      </c>
    </row>
    <row r="284" spans="1:5">
      <c r="A284" s="1" t="s">
        <v>477</v>
      </c>
      <c r="B284" s="1" t="s">
        <v>248</v>
      </c>
      <c r="C284" s="10">
        <v>46048.409126567902</v>
      </c>
      <c r="D284" s="1" t="s">
        <v>29</v>
      </c>
      <c r="E284" s="1">
        <v>26.33</v>
      </c>
    </row>
    <row r="285" spans="1:5">
      <c r="A285" s="1" t="s">
        <v>478</v>
      </c>
      <c r="B285" s="1" t="s">
        <v>479</v>
      </c>
      <c r="C285" s="10">
        <v>46039.409126567902</v>
      </c>
      <c r="D285" s="1" t="s">
        <v>16</v>
      </c>
      <c r="E285" s="1">
        <v>10.58</v>
      </c>
    </row>
    <row r="286" spans="1:5">
      <c r="A286" s="1" t="s">
        <v>480</v>
      </c>
      <c r="B286" s="1" t="s">
        <v>221</v>
      </c>
      <c r="C286" s="10">
        <v>46275.409126567902</v>
      </c>
      <c r="D286" s="1" t="s">
        <v>50</v>
      </c>
      <c r="E286" s="1">
        <v>5.64</v>
      </c>
    </row>
    <row r="287" spans="1:5">
      <c r="A287" s="1" t="s">
        <v>481</v>
      </c>
      <c r="B287" s="1" t="s">
        <v>122</v>
      </c>
      <c r="C287" s="10">
        <v>46189.409126567902</v>
      </c>
      <c r="D287" s="1" t="s">
        <v>16</v>
      </c>
      <c r="E287" s="1">
        <v>9.33</v>
      </c>
    </row>
    <row r="288" spans="1:5">
      <c r="A288" s="1" t="s">
        <v>482</v>
      </c>
      <c r="B288" s="1" t="s">
        <v>483</v>
      </c>
      <c r="C288" s="10">
        <v>46162.409126567902</v>
      </c>
      <c r="D288" s="1" t="s">
        <v>7</v>
      </c>
      <c r="E288" s="1">
        <v>43.73</v>
      </c>
    </row>
    <row r="289" spans="1:5">
      <c r="A289" s="1" t="s">
        <v>484</v>
      </c>
      <c r="B289" s="1" t="s">
        <v>26</v>
      </c>
      <c r="C289" s="10">
        <v>46047.409126567902</v>
      </c>
      <c r="D289" s="1" t="s">
        <v>13</v>
      </c>
      <c r="E289" s="1">
        <v>12.14</v>
      </c>
    </row>
    <row r="290" spans="1:5">
      <c r="A290" s="1" t="s">
        <v>485</v>
      </c>
      <c r="B290" s="1" t="s">
        <v>460</v>
      </c>
      <c r="C290" s="10">
        <v>46034.409126567902</v>
      </c>
      <c r="D290" s="1" t="s">
        <v>50</v>
      </c>
      <c r="E290" s="1">
        <v>5.59</v>
      </c>
    </row>
    <row r="291" spans="1:5">
      <c r="A291" s="1" t="s">
        <v>486</v>
      </c>
      <c r="B291" s="1" t="s">
        <v>487</v>
      </c>
      <c r="C291" s="10">
        <v>46088.409126567902</v>
      </c>
      <c r="D291" s="1" t="s">
        <v>7</v>
      </c>
      <c r="E291" s="1">
        <v>47.85</v>
      </c>
    </row>
    <row r="292" spans="1:5">
      <c r="A292" s="1" t="s">
        <v>488</v>
      </c>
      <c r="B292" s="1" t="s">
        <v>86</v>
      </c>
      <c r="C292" s="10">
        <v>46284.409126567902</v>
      </c>
      <c r="D292" s="1" t="s">
        <v>50</v>
      </c>
      <c r="E292" s="1">
        <v>4.4000000000000004</v>
      </c>
    </row>
    <row r="293" spans="1:5">
      <c r="A293" s="1" t="s">
        <v>489</v>
      </c>
      <c r="B293" s="1" t="s">
        <v>173</v>
      </c>
      <c r="C293" s="10">
        <v>46273.409126567902</v>
      </c>
      <c r="D293" s="1" t="s">
        <v>50</v>
      </c>
      <c r="E293" s="1">
        <v>5.99</v>
      </c>
    </row>
    <row r="294" spans="1:5">
      <c r="A294" s="1" t="s">
        <v>490</v>
      </c>
      <c r="B294" s="1" t="s">
        <v>491</v>
      </c>
      <c r="C294" s="10">
        <v>46129.409126567902</v>
      </c>
      <c r="D294" s="1" t="s">
        <v>7</v>
      </c>
      <c r="E294" s="1">
        <v>33.44</v>
      </c>
    </row>
    <row r="295" spans="1:5">
      <c r="A295" s="1" t="s">
        <v>492</v>
      </c>
      <c r="B295" s="1" t="s">
        <v>493</v>
      </c>
      <c r="C295" s="10">
        <v>46245.409126567902</v>
      </c>
      <c r="D295" s="1" t="s">
        <v>29</v>
      </c>
      <c r="E295" s="1">
        <v>20.02</v>
      </c>
    </row>
    <row r="296" spans="1:5">
      <c r="A296" s="1" t="s">
        <v>494</v>
      </c>
      <c r="B296" s="1" t="s">
        <v>495</v>
      </c>
      <c r="C296" s="10">
        <v>46098.409126567902</v>
      </c>
      <c r="D296" s="1" t="s">
        <v>10</v>
      </c>
      <c r="E296" s="1">
        <v>12.26</v>
      </c>
    </row>
    <row r="297" spans="1:5">
      <c r="A297" s="1" t="s">
        <v>496</v>
      </c>
      <c r="B297" s="1" t="s">
        <v>497</v>
      </c>
      <c r="C297" s="10">
        <v>46143.409126567902</v>
      </c>
      <c r="D297" s="1" t="s">
        <v>16</v>
      </c>
      <c r="E297" s="1">
        <v>9.3699999999999992</v>
      </c>
    </row>
    <row r="298" spans="1:5">
      <c r="A298" s="1" t="s">
        <v>498</v>
      </c>
      <c r="B298" s="1" t="s">
        <v>28</v>
      </c>
      <c r="C298" s="10">
        <v>46104.409126567902</v>
      </c>
      <c r="D298" s="1" t="s">
        <v>50</v>
      </c>
      <c r="E298" s="1">
        <v>5.27</v>
      </c>
    </row>
    <row r="299" spans="1:5">
      <c r="A299" s="1" t="s">
        <v>499</v>
      </c>
      <c r="B299" s="1" t="s">
        <v>500</v>
      </c>
      <c r="C299" s="10">
        <v>46096.409126567902</v>
      </c>
      <c r="D299" s="1" t="s">
        <v>16</v>
      </c>
      <c r="E299" s="1">
        <v>8.2799999999999994</v>
      </c>
    </row>
    <row r="300" spans="1:5">
      <c r="A300" s="1" t="s">
        <v>501</v>
      </c>
      <c r="B300" s="1" t="s">
        <v>502</v>
      </c>
      <c r="C300" s="10">
        <v>46003.409126567902</v>
      </c>
      <c r="D300" s="1" t="s">
        <v>13</v>
      </c>
      <c r="E300" s="1">
        <v>9.6300000000000008</v>
      </c>
    </row>
    <row r="301" spans="1:5">
      <c r="A301" s="1" t="s">
        <v>503</v>
      </c>
      <c r="B301" s="1" t="s">
        <v>181</v>
      </c>
      <c r="C301" s="10">
        <v>46224.409126567902</v>
      </c>
      <c r="D301" s="1" t="s">
        <v>7</v>
      </c>
      <c r="E301" s="1">
        <v>46.99</v>
      </c>
    </row>
    <row r="302" spans="1:5">
      <c r="A302" s="1" t="s">
        <v>504</v>
      </c>
      <c r="B302" s="1" t="s">
        <v>183</v>
      </c>
      <c r="C302" s="10">
        <v>46212.409126567902</v>
      </c>
      <c r="D302" s="1" t="s">
        <v>16</v>
      </c>
      <c r="E302" s="1">
        <v>11.29</v>
      </c>
    </row>
    <row r="303" spans="1:5">
      <c r="A303" s="1" t="s">
        <v>505</v>
      </c>
      <c r="B303" s="1" t="s">
        <v>225</v>
      </c>
      <c r="C303" s="10">
        <v>46239.409126567902</v>
      </c>
      <c r="D303" s="1" t="s">
        <v>7</v>
      </c>
      <c r="E303" s="1">
        <v>44.95</v>
      </c>
    </row>
    <row r="304" spans="1:5">
      <c r="A304" s="1" t="s">
        <v>506</v>
      </c>
      <c r="B304" s="1" t="s">
        <v>243</v>
      </c>
      <c r="C304" s="10">
        <v>46070.409126567902</v>
      </c>
      <c r="D304" s="1" t="s">
        <v>16</v>
      </c>
      <c r="E304" s="1">
        <v>11.54</v>
      </c>
    </row>
    <row r="305" spans="1:5">
      <c r="A305" s="1" t="s">
        <v>507</v>
      </c>
      <c r="B305" s="1" t="s">
        <v>62</v>
      </c>
      <c r="C305" s="10">
        <v>46130.409126567902</v>
      </c>
      <c r="D305" s="1" t="s">
        <v>10</v>
      </c>
      <c r="E305" s="1">
        <v>16.2</v>
      </c>
    </row>
    <row r="306" spans="1:5">
      <c r="A306" s="1" t="s">
        <v>508</v>
      </c>
      <c r="B306" s="1" t="s">
        <v>58</v>
      </c>
      <c r="C306" s="10">
        <v>46063.409126567902</v>
      </c>
      <c r="D306" s="1" t="s">
        <v>10</v>
      </c>
      <c r="E306" s="1">
        <v>12.63</v>
      </c>
    </row>
    <row r="307" spans="1:5">
      <c r="A307" s="1" t="s">
        <v>509</v>
      </c>
      <c r="B307" s="1" t="s">
        <v>192</v>
      </c>
      <c r="C307" s="10">
        <v>45968.409126567902</v>
      </c>
      <c r="D307" s="1" t="s">
        <v>10</v>
      </c>
      <c r="E307" s="1">
        <v>14.39</v>
      </c>
    </row>
    <row r="308" spans="1:5">
      <c r="A308" s="1" t="s">
        <v>510</v>
      </c>
      <c r="B308" s="1" t="s">
        <v>511</v>
      </c>
      <c r="C308" s="10">
        <v>46111.409126567902</v>
      </c>
      <c r="D308" s="1" t="s">
        <v>10</v>
      </c>
      <c r="E308" s="1">
        <v>16.34</v>
      </c>
    </row>
    <row r="309" spans="1:5">
      <c r="A309" s="1" t="s">
        <v>512</v>
      </c>
      <c r="B309" s="1" t="s">
        <v>325</v>
      </c>
      <c r="C309" s="10">
        <v>45957.409126567902</v>
      </c>
      <c r="D309" s="1" t="s">
        <v>10</v>
      </c>
      <c r="E309" s="1">
        <v>13.68</v>
      </c>
    </row>
    <row r="310" spans="1:5">
      <c r="A310" s="1" t="s">
        <v>513</v>
      </c>
      <c r="B310" s="1" t="s">
        <v>514</v>
      </c>
      <c r="C310" s="10">
        <v>46173.409126567902</v>
      </c>
      <c r="D310" s="1" t="s">
        <v>10</v>
      </c>
      <c r="E310" s="1">
        <v>16.12</v>
      </c>
    </row>
    <row r="311" spans="1:5">
      <c r="A311" s="1" t="s">
        <v>515</v>
      </c>
      <c r="B311" s="1" t="s">
        <v>92</v>
      </c>
      <c r="C311" s="10">
        <v>46093.409126567902</v>
      </c>
      <c r="D311" s="1" t="s">
        <v>7</v>
      </c>
      <c r="E311" s="1">
        <v>32.39</v>
      </c>
    </row>
    <row r="312" spans="1:5">
      <c r="A312" s="1" t="s">
        <v>516</v>
      </c>
      <c r="B312" s="1" t="s">
        <v>517</v>
      </c>
      <c r="C312" s="10">
        <v>45973.409126567902</v>
      </c>
      <c r="D312" s="1" t="s">
        <v>50</v>
      </c>
      <c r="E312" s="1">
        <v>4.6100000000000003</v>
      </c>
    </row>
    <row r="313" spans="1:5">
      <c r="A313" s="1" t="s">
        <v>518</v>
      </c>
      <c r="B313" s="1" t="s">
        <v>519</v>
      </c>
      <c r="C313" s="10">
        <v>46165.409126567902</v>
      </c>
      <c r="D313" s="1" t="s">
        <v>16</v>
      </c>
      <c r="E313" s="1">
        <v>10.199999999999999</v>
      </c>
    </row>
    <row r="314" spans="1:5">
      <c r="A314" s="1" t="s">
        <v>520</v>
      </c>
      <c r="B314" s="1" t="s">
        <v>460</v>
      </c>
      <c r="C314" s="10">
        <v>46300.409126567902</v>
      </c>
      <c r="D314" s="1" t="s">
        <v>10</v>
      </c>
      <c r="E314" s="1">
        <v>15.79</v>
      </c>
    </row>
    <row r="315" spans="1:5">
      <c r="A315" s="1" t="s">
        <v>521</v>
      </c>
      <c r="B315" s="1" t="s">
        <v>241</v>
      </c>
      <c r="C315" s="10">
        <v>45986.409126567902</v>
      </c>
      <c r="D315" s="1" t="s">
        <v>7</v>
      </c>
      <c r="E315" s="1">
        <v>41.23</v>
      </c>
    </row>
    <row r="316" spans="1:5">
      <c r="A316" s="1" t="s">
        <v>522</v>
      </c>
      <c r="B316" s="1" t="s">
        <v>130</v>
      </c>
      <c r="C316" s="10">
        <v>46199.409126567902</v>
      </c>
      <c r="D316" s="1" t="s">
        <v>7</v>
      </c>
      <c r="E316" s="1">
        <v>43.16</v>
      </c>
    </row>
    <row r="317" spans="1:5">
      <c r="A317" s="1" t="s">
        <v>523</v>
      </c>
      <c r="B317" s="1" t="s">
        <v>272</v>
      </c>
      <c r="C317" s="10">
        <v>46218.409126567902</v>
      </c>
      <c r="D317" s="1" t="s">
        <v>7</v>
      </c>
      <c r="E317" s="1">
        <v>32.1</v>
      </c>
    </row>
    <row r="318" spans="1:5">
      <c r="A318" s="1" t="s">
        <v>524</v>
      </c>
      <c r="B318" s="1" t="s">
        <v>448</v>
      </c>
      <c r="C318" s="10">
        <v>45962.409126567902</v>
      </c>
      <c r="D318" s="1" t="s">
        <v>50</v>
      </c>
      <c r="E318" s="1">
        <v>4.2</v>
      </c>
    </row>
    <row r="319" spans="1:5">
      <c r="A319" s="1" t="s">
        <v>525</v>
      </c>
      <c r="B319" s="1" t="s">
        <v>45</v>
      </c>
      <c r="C319" s="10">
        <v>46161.409126567902</v>
      </c>
      <c r="D319" s="1" t="s">
        <v>16</v>
      </c>
      <c r="E319" s="1">
        <v>11.48</v>
      </c>
    </row>
    <row r="320" spans="1:5">
      <c r="A320" s="1" t="s">
        <v>526</v>
      </c>
      <c r="B320" s="1" t="s">
        <v>134</v>
      </c>
      <c r="C320" s="10">
        <v>46212.409126567902</v>
      </c>
      <c r="D320" s="1" t="s">
        <v>50</v>
      </c>
      <c r="E320" s="1">
        <v>5.36</v>
      </c>
    </row>
    <row r="321" spans="1:5">
      <c r="A321" s="1" t="s">
        <v>527</v>
      </c>
      <c r="B321" s="1" t="s">
        <v>528</v>
      </c>
      <c r="C321" s="10">
        <v>46221.409126567902</v>
      </c>
      <c r="D321" s="1" t="s">
        <v>29</v>
      </c>
      <c r="E321" s="1">
        <v>21.13</v>
      </c>
    </row>
    <row r="322" spans="1:5">
      <c r="A322" s="1" t="s">
        <v>529</v>
      </c>
      <c r="B322" s="1" t="s">
        <v>393</v>
      </c>
      <c r="C322" s="10">
        <v>46032.409126567902</v>
      </c>
      <c r="D322" s="1" t="s">
        <v>7</v>
      </c>
      <c r="E322" s="1">
        <v>45.47</v>
      </c>
    </row>
    <row r="323" spans="1:5">
      <c r="A323" s="1" t="s">
        <v>530</v>
      </c>
      <c r="B323" s="1" t="s">
        <v>359</v>
      </c>
      <c r="C323" s="10">
        <v>46219.409126567902</v>
      </c>
      <c r="D323" s="1" t="s">
        <v>29</v>
      </c>
      <c r="E323" s="1">
        <v>22.42</v>
      </c>
    </row>
    <row r="324" spans="1:5">
      <c r="A324" s="1" t="s">
        <v>531</v>
      </c>
      <c r="B324" s="1" t="s">
        <v>190</v>
      </c>
      <c r="C324" s="10">
        <v>46252.409126567902</v>
      </c>
      <c r="D324" s="1" t="s">
        <v>13</v>
      </c>
      <c r="E324" s="1">
        <v>11.9</v>
      </c>
    </row>
    <row r="325" spans="1:5">
      <c r="A325" s="1" t="s">
        <v>532</v>
      </c>
      <c r="B325" s="1" t="s">
        <v>519</v>
      </c>
      <c r="C325" s="10">
        <v>46239.409126567902</v>
      </c>
      <c r="D325" s="1" t="s">
        <v>10</v>
      </c>
      <c r="E325" s="1">
        <v>12.87</v>
      </c>
    </row>
    <row r="326" spans="1:5">
      <c r="A326" s="1" t="s">
        <v>533</v>
      </c>
      <c r="B326" s="1" t="s">
        <v>254</v>
      </c>
      <c r="C326" s="10">
        <v>46082.409126567902</v>
      </c>
      <c r="D326" s="1" t="s">
        <v>10</v>
      </c>
      <c r="E326" s="1">
        <v>16.260000000000002</v>
      </c>
    </row>
    <row r="327" spans="1:5">
      <c r="A327" s="1" t="s">
        <v>534</v>
      </c>
      <c r="B327" s="1" t="s">
        <v>446</v>
      </c>
      <c r="C327" s="10">
        <v>45939.409126567902</v>
      </c>
      <c r="D327" s="1" t="s">
        <v>50</v>
      </c>
      <c r="E327" s="1">
        <v>5.33</v>
      </c>
    </row>
    <row r="328" spans="1:5">
      <c r="A328" s="1" t="s">
        <v>535</v>
      </c>
      <c r="B328" s="1" t="s">
        <v>250</v>
      </c>
      <c r="C328" s="10">
        <v>45970.409126567902</v>
      </c>
      <c r="D328" s="1" t="s">
        <v>16</v>
      </c>
      <c r="E328" s="1">
        <v>8.84</v>
      </c>
    </row>
    <row r="329" spans="1:5">
      <c r="A329" s="1" t="s">
        <v>536</v>
      </c>
      <c r="B329" s="1" t="s">
        <v>537</v>
      </c>
      <c r="C329" s="10">
        <v>46127.409126567902</v>
      </c>
      <c r="D329" s="1" t="s">
        <v>29</v>
      </c>
      <c r="E329" s="1">
        <v>28.63</v>
      </c>
    </row>
    <row r="330" spans="1:5">
      <c r="A330" s="1" t="s">
        <v>538</v>
      </c>
      <c r="B330" s="1" t="s">
        <v>446</v>
      </c>
      <c r="C330" s="10">
        <v>45984.409126567902</v>
      </c>
      <c r="D330" s="1" t="s">
        <v>16</v>
      </c>
      <c r="E330" s="1">
        <v>9.61</v>
      </c>
    </row>
    <row r="331" spans="1:5">
      <c r="A331" s="1" t="s">
        <v>539</v>
      </c>
      <c r="B331" s="1" t="s">
        <v>58</v>
      </c>
      <c r="C331" s="10">
        <v>45952.409126567902</v>
      </c>
      <c r="D331" s="1" t="s">
        <v>50</v>
      </c>
      <c r="E331" s="1">
        <v>4.59</v>
      </c>
    </row>
    <row r="332" spans="1:5">
      <c r="A332" s="1" t="s">
        <v>540</v>
      </c>
      <c r="B332" s="1" t="s">
        <v>264</v>
      </c>
      <c r="C332" s="10">
        <v>46107.409126567902</v>
      </c>
      <c r="D332" s="1" t="s">
        <v>10</v>
      </c>
      <c r="E332" s="1">
        <v>12.91</v>
      </c>
    </row>
    <row r="333" spans="1:5">
      <c r="A333" s="1" t="s">
        <v>541</v>
      </c>
      <c r="B333" s="1" t="s">
        <v>542</v>
      </c>
      <c r="C333" s="10">
        <v>46155.409126567902</v>
      </c>
      <c r="D333" s="1" t="s">
        <v>16</v>
      </c>
      <c r="E333" s="1">
        <v>9.06</v>
      </c>
    </row>
    <row r="334" spans="1:5">
      <c r="A334" s="1" t="s">
        <v>543</v>
      </c>
      <c r="B334" s="1" t="s">
        <v>544</v>
      </c>
      <c r="C334" s="10">
        <v>46093.409126567902</v>
      </c>
      <c r="D334" s="1" t="s">
        <v>16</v>
      </c>
      <c r="E334" s="1">
        <v>8.09</v>
      </c>
    </row>
    <row r="335" spans="1:5">
      <c r="A335" s="1" t="s">
        <v>545</v>
      </c>
      <c r="B335" s="1" t="s">
        <v>546</v>
      </c>
      <c r="C335" s="10">
        <v>45981.409126567902</v>
      </c>
      <c r="D335" s="1" t="s">
        <v>10</v>
      </c>
      <c r="E335" s="1">
        <v>15.5</v>
      </c>
    </row>
    <row r="336" spans="1:5">
      <c r="A336" s="1" t="s">
        <v>547</v>
      </c>
      <c r="B336" s="1" t="s">
        <v>94</v>
      </c>
      <c r="C336" s="10">
        <v>45941.409126567902</v>
      </c>
      <c r="D336" s="1" t="s">
        <v>29</v>
      </c>
      <c r="E336" s="1">
        <v>28.42</v>
      </c>
    </row>
    <row r="337" spans="1:5">
      <c r="A337" s="1" t="s">
        <v>548</v>
      </c>
      <c r="B337" s="1" t="s">
        <v>88</v>
      </c>
      <c r="C337" s="10">
        <v>46034.409126567902</v>
      </c>
      <c r="D337" s="1" t="s">
        <v>10</v>
      </c>
      <c r="E337" s="1">
        <v>15.29</v>
      </c>
    </row>
    <row r="338" spans="1:5">
      <c r="A338" s="1" t="s">
        <v>549</v>
      </c>
      <c r="B338" s="1" t="s">
        <v>256</v>
      </c>
      <c r="C338" s="10">
        <v>46168.409126567902</v>
      </c>
      <c r="D338" s="1" t="s">
        <v>16</v>
      </c>
      <c r="E338" s="1">
        <v>8.8800000000000008</v>
      </c>
    </row>
    <row r="339" spans="1:5">
      <c r="A339" s="1" t="s">
        <v>550</v>
      </c>
      <c r="B339" s="1" t="s">
        <v>118</v>
      </c>
      <c r="C339" s="10">
        <v>45972.409126567902</v>
      </c>
      <c r="D339" s="1" t="s">
        <v>29</v>
      </c>
      <c r="E339" s="1">
        <v>20.34</v>
      </c>
    </row>
    <row r="340" spans="1:5">
      <c r="A340" s="1" t="s">
        <v>551</v>
      </c>
      <c r="B340" s="1" t="s">
        <v>70</v>
      </c>
      <c r="C340" s="10">
        <v>46215.409126567902</v>
      </c>
      <c r="D340" s="1" t="s">
        <v>29</v>
      </c>
      <c r="E340" s="1">
        <v>22.15</v>
      </c>
    </row>
    <row r="341" spans="1:5">
      <c r="A341" s="1" t="s">
        <v>552</v>
      </c>
      <c r="B341" s="1" t="s">
        <v>337</v>
      </c>
      <c r="C341" s="10">
        <v>46284.409126567902</v>
      </c>
      <c r="D341" s="1" t="s">
        <v>10</v>
      </c>
      <c r="E341" s="1">
        <v>14.5</v>
      </c>
    </row>
    <row r="342" spans="1:5">
      <c r="A342" s="1" t="s">
        <v>553</v>
      </c>
      <c r="B342" s="1" t="s">
        <v>64</v>
      </c>
      <c r="C342" s="10">
        <v>46237.409126567902</v>
      </c>
      <c r="D342" s="1" t="s">
        <v>16</v>
      </c>
      <c r="E342" s="1">
        <v>11.04</v>
      </c>
    </row>
    <row r="343" spans="1:5">
      <c r="A343" s="1" t="s">
        <v>554</v>
      </c>
      <c r="B343" s="1" t="s">
        <v>555</v>
      </c>
      <c r="C343" s="10">
        <v>46116.409126567902</v>
      </c>
      <c r="D343" s="1" t="s">
        <v>50</v>
      </c>
      <c r="E343" s="1">
        <v>4.38</v>
      </c>
    </row>
    <row r="344" spans="1:5">
      <c r="A344" s="1" t="s">
        <v>556</v>
      </c>
      <c r="B344" s="1" t="s">
        <v>22</v>
      </c>
      <c r="C344" s="10">
        <v>46030.409126567902</v>
      </c>
      <c r="D344" s="1" t="s">
        <v>16</v>
      </c>
      <c r="E344" s="1">
        <v>10.88</v>
      </c>
    </row>
    <row r="345" spans="1:5">
      <c r="A345" s="1" t="s">
        <v>557</v>
      </c>
      <c r="B345" s="1" t="s">
        <v>558</v>
      </c>
      <c r="C345" s="10">
        <v>46034.409126567902</v>
      </c>
      <c r="D345" s="1" t="s">
        <v>7</v>
      </c>
      <c r="E345" s="1">
        <v>45.87</v>
      </c>
    </row>
    <row r="346" spans="1:5">
      <c r="A346" s="1" t="s">
        <v>559</v>
      </c>
      <c r="B346" s="1" t="s">
        <v>560</v>
      </c>
      <c r="C346" s="10">
        <v>46123.409126567902</v>
      </c>
      <c r="D346" s="1" t="s">
        <v>13</v>
      </c>
      <c r="E346" s="1">
        <v>11.78</v>
      </c>
    </row>
    <row r="347" spans="1:5">
      <c r="A347" s="1" t="s">
        <v>561</v>
      </c>
      <c r="B347" s="1" t="s">
        <v>562</v>
      </c>
      <c r="C347" s="10">
        <v>46051.409126567902</v>
      </c>
      <c r="D347" s="1" t="s">
        <v>50</v>
      </c>
      <c r="E347" s="1">
        <v>5.64</v>
      </c>
    </row>
    <row r="348" spans="1:5">
      <c r="A348" s="1" t="s">
        <v>563</v>
      </c>
      <c r="B348" s="1" t="s">
        <v>33</v>
      </c>
      <c r="C348" s="10">
        <v>46126.409126567902</v>
      </c>
      <c r="D348" s="1" t="s">
        <v>29</v>
      </c>
      <c r="E348" s="1">
        <v>25.55</v>
      </c>
    </row>
    <row r="349" spans="1:5">
      <c r="A349" s="1" t="s">
        <v>564</v>
      </c>
      <c r="B349" s="1" t="s">
        <v>565</v>
      </c>
      <c r="C349" s="10">
        <v>46188.409126567902</v>
      </c>
      <c r="D349" s="1" t="s">
        <v>50</v>
      </c>
      <c r="E349" s="1">
        <v>5.27</v>
      </c>
    </row>
    <row r="350" spans="1:5">
      <c r="A350" s="1" t="s">
        <v>566</v>
      </c>
      <c r="B350" s="1" t="s">
        <v>264</v>
      </c>
      <c r="C350" s="10">
        <v>46096.409126567902</v>
      </c>
      <c r="D350" s="1" t="s">
        <v>29</v>
      </c>
      <c r="E350" s="1">
        <v>25.26</v>
      </c>
    </row>
    <row r="351" spans="1:5">
      <c r="A351" s="1" t="s">
        <v>567</v>
      </c>
      <c r="B351" s="1" t="s">
        <v>568</v>
      </c>
      <c r="C351" s="10">
        <v>46191.409126567902</v>
      </c>
      <c r="D351" s="1" t="s">
        <v>29</v>
      </c>
      <c r="E351" s="1">
        <v>24.63</v>
      </c>
    </row>
    <row r="352" spans="1:5">
      <c r="A352" s="1" t="s">
        <v>569</v>
      </c>
      <c r="B352" s="1" t="s">
        <v>560</v>
      </c>
      <c r="C352" s="10">
        <v>46258.409126567902</v>
      </c>
      <c r="D352" s="1" t="s">
        <v>50</v>
      </c>
      <c r="E352" s="1">
        <v>4.47</v>
      </c>
    </row>
    <row r="353" spans="1:5">
      <c r="A353" s="1" t="s">
        <v>570</v>
      </c>
      <c r="B353" s="1" t="s">
        <v>571</v>
      </c>
      <c r="C353" s="10">
        <v>46063.409126567902</v>
      </c>
      <c r="D353" s="1" t="s">
        <v>29</v>
      </c>
      <c r="E353" s="1">
        <v>23.03</v>
      </c>
    </row>
    <row r="354" spans="1:5">
      <c r="A354" s="1" t="s">
        <v>572</v>
      </c>
      <c r="B354" s="1" t="s">
        <v>161</v>
      </c>
      <c r="C354" s="10">
        <v>45953.409126567902</v>
      </c>
      <c r="D354" s="1" t="s">
        <v>29</v>
      </c>
      <c r="E354" s="1">
        <v>22.9</v>
      </c>
    </row>
    <row r="355" spans="1:5">
      <c r="A355" s="1" t="s">
        <v>573</v>
      </c>
      <c r="B355" s="1" t="s">
        <v>334</v>
      </c>
      <c r="C355" s="10">
        <v>46216.409126567902</v>
      </c>
      <c r="D355" s="1" t="s">
        <v>7</v>
      </c>
      <c r="E355" s="1">
        <v>41.01</v>
      </c>
    </row>
    <row r="356" spans="1:5">
      <c r="A356" s="1" t="s">
        <v>574</v>
      </c>
      <c r="B356" s="1" t="s">
        <v>243</v>
      </c>
      <c r="C356" s="10">
        <v>46158.409126567902</v>
      </c>
      <c r="D356" s="1" t="s">
        <v>16</v>
      </c>
      <c r="E356" s="1">
        <v>8.48</v>
      </c>
    </row>
    <row r="357" spans="1:5">
      <c r="A357" s="1" t="s">
        <v>575</v>
      </c>
      <c r="B357" s="1" t="s">
        <v>424</v>
      </c>
      <c r="C357" s="10">
        <v>45989.409126567902</v>
      </c>
      <c r="D357" s="1" t="s">
        <v>16</v>
      </c>
      <c r="E357" s="1">
        <v>11.67</v>
      </c>
    </row>
    <row r="358" spans="1:5">
      <c r="A358" s="1" t="s">
        <v>576</v>
      </c>
      <c r="B358" s="1" t="s">
        <v>303</v>
      </c>
      <c r="C358" s="10">
        <v>45993.409126567902</v>
      </c>
      <c r="D358" s="1" t="s">
        <v>13</v>
      </c>
      <c r="E358" s="1">
        <v>13.06</v>
      </c>
    </row>
    <row r="359" spans="1:5">
      <c r="A359" s="1" t="s">
        <v>577</v>
      </c>
      <c r="B359" s="1" t="s">
        <v>120</v>
      </c>
      <c r="C359" s="10">
        <v>46258.409126567902</v>
      </c>
      <c r="D359" s="1" t="s">
        <v>13</v>
      </c>
      <c r="E359" s="1">
        <v>11.53</v>
      </c>
    </row>
    <row r="360" spans="1:5">
      <c r="A360" s="1" t="s">
        <v>578</v>
      </c>
      <c r="B360" s="1" t="s">
        <v>197</v>
      </c>
      <c r="C360" s="10">
        <v>46295.409126567902</v>
      </c>
      <c r="D360" s="1" t="s">
        <v>7</v>
      </c>
      <c r="E360" s="1">
        <v>34.54</v>
      </c>
    </row>
    <row r="361" spans="1:5">
      <c r="A361" s="1" t="s">
        <v>579</v>
      </c>
      <c r="B361" s="1" t="s">
        <v>256</v>
      </c>
      <c r="C361" s="10">
        <v>46109.409126567902</v>
      </c>
      <c r="D361" s="1" t="s">
        <v>13</v>
      </c>
      <c r="E361" s="1">
        <v>13.83</v>
      </c>
    </row>
    <row r="362" spans="1:5">
      <c r="A362" s="1" t="s">
        <v>580</v>
      </c>
      <c r="B362" s="1" t="s">
        <v>84</v>
      </c>
      <c r="C362" s="10">
        <v>46215.409126567902</v>
      </c>
      <c r="D362" s="1" t="s">
        <v>50</v>
      </c>
      <c r="E362" s="1">
        <v>5.65</v>
      </c>
    </row>
    <row r="363" spans="1:5">
      <c r="A363" s="1" t="s">
        <v>581</v>
      </c>
      <c r="B363" s="1" t="s">
        <v>487</v>
      </c>
      <c r="C363" s="10">
        <v>46049.409126567902</v>
      </c>
      <c r="D363" s="1" t="s">
        <v>10</v>
      </c>
      <c r="E363" s="1">
        <v>16.329999999999998</v>
      </c>
    </row>
    <row r="364" spans="1:5">
      <c r="A364" s="1" t="s">
        <v>582</v>
      </c>
      <c r="B364" s="1" t="s">
        <v>108</v>
      </c>
      <c r="C364" s="10">
        <v>46223.409126567902</v>
      </c>
      <c r="D364" s="1" t="s">
        <v>10</v>
      </c>
      <c r="E364" s="1">
        <v>13.63</v>
      </c>
    </row>
    <row r="365" spans="1:5">
      <c r="A365" s="1" t="s">
        <v>583</v>
      </c>
      <c r="B365" s="1" t="s">
        <v>429</v>
      </c>
      <c r="C365" s="10">
        <v>46277.409126567902</v>
      </c>
      <c r="D365" s="1" t="s">
        <v>10</v>
      </c>
      <c r="E365" s="1">
        <v>14.41</v>
      </c>
    </row>
    <row r="366" spans="1:5">
      <c r="A366" s="1" t="s">
        <v>584</v>
      </c>
      <c r="B366" s="1" t="s">
        <v>585</v>
      </c>
      <c r="C366" s="10">
        <v>46086.409126567902</v>
      </c>
      <c r="D366" s="1" t="s">
        <v>7</v>
      </c>
      <c r="E366" s="1">
        <v>33.64</v>
      </c>
    </row>
    <row r="367" spans="1:5">
      <c r="A367" s="1" t="s">
        <v>586</v>
      </c>
      <c r="B367" s="1" t="s">
        <v>171</v>
      </c>
      <c r="C367" s="10">
        <v>46062.409126567902</v>
      </c>
      <c r="D367" s="1" t="s">
        <v>7</v>
      </c>
      <c r="E367" s="1">
        <v>35.020000000000003</v>
      </c>
    </row>
    <row r="368" spans="1:5">
      <c r="A368" s="1" t="s">
        <v>587</v>
      </c>
      <c r="B368" s="1" t="s">
        <v>98</v>
      </c>
      <c r="C368" s="10">
        <v>46090.409126567902</v>
      </c>
      <c r="D368" s="1" t="s">
        <v>29</v>
      </c>
      <c r="E368" s="1">
        <v>27.83</v>
      </c>
    </row>
    <row r="369" spans="1:5">
      <c r="A369" s="1" t="s">
        <v>588</v>
      </c>
      <c r="B369" s="1" t="s">
        <v>340</v>
      </c>
      <c r="C369" s="10">
        <v>46208.409126567902</v>
      </c>
      <c r="D369" s="1" t="s">
        <v>10</v>
      </c>
      <c r="E369" s="1">
        <v>16.29</v>
      </c>
    </row>
    <row r="370" spans="1:5">
      <c r="A370" s="1" t="s">
        <v>589</v>
      </c>
      <c r="B370" s="1" t="s">
        <v>590</v>
      </c>
      <c r="C370" s="10">
        <v>46039.409126567902</v>
      </c>
      <c r="D370" s="1" t="s">
        <v>50</v>
      </c>
      <c r="E370" s="1">
        <v>5.19</v>
      </c>
    </row>
    <row r="371" spans="1:5">
      <c r="A371" s="1" t="s">
        <v>591</v>
      </c>
      <c r="B371" s="1" t="s">
        <v>592</v>
      </c>
      <c r="C371" s="10">
        <v>46234.409126567902</v>
      </c>
      <c r="D371" s="1" t="s">
        <v>13</v>
      </c>
      <c r="E371" s="1">
        <v>13.9</v>
      </c>
    </row>
    <row r="372" spans="1:5">
      <c r="A372" s="1" t="s">
        <v>593</v>
      </c>
      <c r="B372" s="1" t="s">
        <v>183</v>
      </c>
      <c r="C372" s="10">
        <v>46181.409126567902</v>
      </c>
      <c r="D372" s="1" t="s">
        <v>50</v>
      </c>
      <c r="E372" s="1">
        <v>5.17</v>
      </c>
    </row>
    <row r="373" spans="1:5">
      <c r="A373" s="1" t="s">
        <v>594</v>
      </c>
      <c r="B373" s="1" t="s">
        <v>147</v>
      </c>
      <c r="C373" s="10">
        <v>46111.409126567902</v>
      </c>
      <c r="D373" s="1" t="s">
        <v>13</v>
      </c>
      <c r="E373" s="1">
        <v>11.84</v>
      </c>
    </row>
    <row r="374" spans="1:5">
      <c r="A374" s="1" t="s">
        <v>595</v>
      </c>
      <c r="B374" s="1" t="s">
        <v>528</v>
      </c>
      <c r="C374" s="10">
        <v>45974.409126567902</v>
      </c>
      <c r="D374" s="1" t="s">
        <v>10</v>
      </c>
      <c r="E374" s="1">
        <v>14.04</v>
      </c>
    </row>
    <row r="375" spans="1:5">
      <c r="A375" s="1" t="s">
        <v>596</v>
      </c>
      <c r="B375" s="1" t="s">
        <v>66</v>
      </c>
      <c r="C375" s="10">
        <v>46105.409126567902</v>
      </c>
      <c r="D375" s="1" t="s">
        <v>10</v>
      </c>
      <c r="E375" s="1">
        <v>17.64</v>
      </c>
    </row>
    <row r="376" spans="1:5">
      <c r="A376" s="1" t="s">
        <v>597</v>
      </c>
      <c r="B376" s="1" t="s">
        <v>248</v>
      </c>
      <c r="C376" s="10">
        <v>46182.409126567902</v>
      </c>
      <c r="D376" s="1" t="s">
        <v>10</v>
      </c>
      <c r="E376" s="1">
        <v>12.5</v>
      </c>
    </row>
    <row r="377" spans="1:5">
      <c r="A377" s="1" t="s">
        <v>598</v>
      </c>
      <c r="B377" s="1" t="s">
        <v>380</v>
      </c>
      <c r="C377" s="10">
        <v>45961.409126567902</v>
      </c>
      <c r="D377" s="1" t="s">
        <v>7</v>
      </c>
      <c r="E377" s="1">
        <v>46.89</v>
      </c>
    </row>
    <row r="378" spans="1:5">
      <c r="A378" s="1" t="s">
        <v>599</v>
      </c>
      <c r="B378" s="1" t="s">
        <v>49</v>
      </c>
      <c r="C378" s="10">
        <v>46290.409126567902</v>
      </c>
      <c r="D378" s="1" t="s">
        <v>13</v>
      </c>
      <c r="E378" s="1">
        <v>13.57</v>
      </c>
    </row>
    <row r="379" spans="1:5">
      <c r="A379" s="1" t="s">
        <v>600</v>
      </c>
      <c r="B379" s="1" t="s">
        <v>601</v>
      </c>
      <c r="C379" s="10">
        <v>46241.409126567902</v>
      </c>
      <c r="D379" s="1" t="s">
        <v>7</v>
      </c>
      <c r="E379" s="1">
        <v>34.08</v>
      </c>
    </row>
    <row r="380" spans="1:5">
      <c r="A380" s="1" t="s">
        <v>602</v>
      </c>
      <c r="B380" s="1" t="s">
        <v>303</v>
      </c>
      <c r="C380" s="10">
        <v>45948.409126567902</v>
      </c>
      <c r="D380" s="1" t="s">
        <v>7</v>
      </c>
      <c r="E380" s="1">
        <v>41.04</v>
      </c>
    </row>
    <row r="381" spans="1:5">
      <c r="A381" s="1" t="s">
        <v>603</v>
      </c>
      <c r="B381" s="1" t="s">
        <v>398</v>
      </c>
      <c r="C381" s="10">
        <v>46251.409126567902</v>
      </c>
      <c r="D381" s="1" t="s">
        <v>16</v>
      </c>
      <c r="E381" s="1">
        <v>11.47</v>
      </c>
    </row>
    <row r="382" spans="1:5">
      <c r="A382" s="1" t="s">
        <v>604</v>
      </c>
      <c r="B382" s="1" t="s">
        <v>378</v>
      </c>
      <c r="C382" s="10">
        <v>46248.409126567902</v>
      </c>
      <c r="D382" s="1" t="s">
        <v>50</v>
      </c>
      <c r="E382" s="1">
        <v>5.14</v>
      </c>
    </row>
    <row r="383" spans="1:5">
      <c r="A383" s="1" t="s">
        <v>605</v>
      </c>
      <c r="B383" s="1" t="s">
        <v>606</v>
      </c>
      <c r="C383" s="10">
        <v>45971.409126567902</v>
      </c>
      <c r="D383" s="1" t="s">
        <v>50</v>
      </c>
      <c r="E383" s="1">
        <v>5.81</v>
      </c>
    </row>
    <row r="384" spans="1:5">
      <c r="A384" s="1" t="s">
        <v>607</v>
      </c>
      <c r="B384" s="1" t="s">
        <v>35</v>
      </c>
      <c r="C384" s="10">
        <v>46108.409126567902</v>
      </c>
      <c r="D384" s="1" t="s">
        <v>29</v>
      </c>
      <c r="E384" s="1">
        <v>29.43</v>
      </c>
    </row>
    <row r="385" spans="1:5">
      <c r="A385" s="1" t="s">
        <v>608</v>
      </c>
      <c r="B385" s="1" t="s">
        <v>96</v>
      </c>
      <c r="C385" s="10">
        <v>45955.409126567902</v>
      </c>
      <c r="D385" s="1" t="s">
        <v>7</v>
      </c>
      <c r="E385" s="1">
        <v>38.76</v>
      </c>
    </row>
    <row r="386" spans="1:5">
      <c r="A386" s="1" t="s">
        <v>609</v>
      </c>
      <c r="B386" s="1" t="s">
        <v>157</v>
      </c>
      <c r="C386" s="10">
        <v>46256.409126567902</v>
      </c>
      <c r="D386" s="1" t="s">
        <v>13</v>
      </c>
      <c r="E386" s="1">
        <v>11.41</v>
      </c>
    </row>
    <row r="387" spans="1:5">
      <c r="A387" s="1" t="s">
        <v>610</v>
      </c>
      <c r="B387" s="1" t="s">
        <v>272</v>
      </c>
      <c r="C387" s="10">
        <v>46199.409126567902</v>
      </c>
      <c r="D387" s="1" t="s">
        <v>16</v>
      </c>
      <c r="E387" s="1">
        <v>11.75</v>
      </c>
    </row>
    <row r="388" spans="1:5">
      <c r="A388" s="1" t="s">
        <v>611</v>
      </c>
      <c r="B388" s="1" t="s">
        <v>555</v>
      </c>
      <c r="C388" s="10">
        <v>46077.409126567902</v>
      </c>
      <c r="D388" s="1" t="s">
        <v>16</v>
      </c>
      <c r="E388" s="1">
        <v>10.7</v>
      </c>
    </row>
    <row r="389" spans="1:5">
      <c r="A389" s="1" t="s">
        <v>612</v>
      </c>
      <c r="B389" s="1" t="s">
        <v>396</v>
      </c>
      <c r="C389" s="10">
        <v>46078.409126567902</v>
      </c>
      <c r="D389" s="1" t="s">
        <v>50</v>
      </c>
      <c r="E389" s="1">
        <v>4.2300000000000004</v>
      </c>
    </row>
    <row r="390" spans="1:5">
      <c r="A390" s="1" t="s">
        <v>613</v>
      </c>
      <c r="B390" s="1" t="s">
        <v>460</v>
      </c>
      <c r="C390" s="10">
        <v>46027.409126567902</v>
      </c>
      <c r="D390" s="1" t="s">
        <v>7</v>
      </c>
      <c r="E390" s="1">
        <v>32.68</v>
      </c>
    </row>
    <row r="391" spans="1:5">
      <c r="A391" s="1" t="s">
        <v>614</v>
      </c>
      <c r="B391" s="1" t="s">
        <v>337</v>
      </c>
      <c r="C391" s="10">
        <v>46289.409126567902</v>
      </c>
      <c r="D391" s="1" t="s">
        <v>29</v>
      </c>
      <c r="E391" s="1">
        <v>25.65</v>
      </c>
    </row>
    <row r="392" spans="1:5">
      <c r="A392" s="1" t="s">
        <v>615</v>
      </c>
      <c r="B392" s="1" t="s">
        <v>213</v>
      </c>
      <c r="C392" s="10">
        <v>46257.409126567902</v>
      </c>
      <c r="D392" s="1" t="s">
        <v>7</v>
      </c>
      <c r="E392" s="1">
        <v>46.88</v>
      </c>
    </row>
    <row r="393" spans="1:5">
      <c r="A393" s="1" t="s">
        <v>616</v>
      </c>
      <c r="B393" s="1" t="s">
        <v>209</v>
      </c>
      <c r="C393" s="10">
        <v>46223.409126567902</v>
      </c>
      <c r="D393" s="1" t="s">
        <v>10</v>
      </c>
      <c r="E393" s="1">
        <v>17.07</v>
      </c>
    </row>
    <row r="394" spans="1:5">
      <c r="A394" s="1" t="s">
        <v>617</v>
      </c>
      <c r="B394" s="1" t="s">
        <v>618</v>
      </c>
      <c r="C394" s="10">
        <v>46150.409126567902</v>
      </c>
      <c r="D394" s="1" t="s">
        <v>7</v>
      </c>
      <c r="E394" s="1">
        <v>42.81</v>
      </c>
    </row>
    <row r="395" spans="1:5">
      <c r="A395" s="1" t="s">
        <v>619</v>
      </c>
      <c r="B395" s="1" t="s">
        <v>118</v>
      </c>
      <c r="C395" s="10">
        <v>46277.409126567902</v>
      </c>
      <c r="D395" s="1" t="s">
        <v>10</v>
      </c>
      <c r="E395" s="1">
        <v>12.83</v>
      </c>
    </row>
    <row r="396" spans="1:5">
      <c r="A396" s="1" t="s">
        <v>620</v>
      </c>
      <c r="B396" s="1" t="s">
        <v>128</v>
      </c>
      <c r="C396" s="10">
        <v>45986.409126567902</v>
      </c>
      <c r="D396" s="1" t="s">
        <v>10</v>
      </c>
      <c r="E396" s="1">
        <v>13.53</v>
      </c>
    </row>
    <row r="397" spans="1:5">
      <c r="A397" s="1" t="s">
        <v>621</v>
      </c>
      <c r="B397" s="1" t="s">
        <v>454</v>
      </c>
      <c r="C397" s="10">
        <v>46088.409126567902</v>
      </c>
      <c r="D397" s="1" t="s">
        <v>29</v>
      </c>
      <c r="E397" s="1">
        <v>28.76</v>
      </c>
    </row>
    <row r="398" spans="1:5">
      <c r="A398" s="1" t="s">
        <v>622</v>
      </c>
      <c r="B398" s="1" t="s">
        <v>205</v>
      </c>
      <c r="C398" s="10">
        <v>46121.409126567902</v>
      </c>
      <c r="D398" s="1" t="s">
        <v>13</v>
      </c>
      <c r="E398" s="1">
        <v>10.48</v>
      </c>
    </row>
    <row r="399" spans="1:5">
      <c r="A399" s="1" t="s">
        <v>623</v>
      </c>
      <c r="B399" s="1" t="s">
        <v>9</v>
      </c>
      <c r="C399" s="10">
        <v>45998.409126567902</v>
      </c>
      <c r="D399" s="1" t="s">
        <v>50</v>
      </c>
      <c r="E399" s="1">
        <v>4.5599999999999996</v>
      </c>
    </row>
    <row r="400" spans="1:5">
      <c r="A400" s="1" t="s">
        <v>624</v>
      </c>
      <c r="B400" s="1" t="s">
        <v>590</v>
      </c>
      <c r="C400" s="10">
        <v>46125.409126567902</v>
      </c>
      <c r="D400" s="1" t="s">
        <v>7</v>
      </c>
      <c r="E400" s="1">
        <v>34.07</v>
      </c>
    </row>
    <row r="401" spans="1:5">
      <c r="A401" s="1" t="s">
        <v>625</v>
      </c>
      <c r="B401" s="1" t="s">
        <v>555</v>
      </c>
      <c r="C401" s="10">
        <v>46060.409126567902</v>
      </c>
      <c r="D401" s="1" t="s">
        <v>10</v>
      </c>
      <c r="E401" s="1">
        <v>16.059999999999999</v>
      </c>
    </row>
    <row r="402" spans="1:5">
      <c r="A402" s="1" t="s">
        <v>626</v>
      </c>
      <c r="B402" s="1" t="s">
        <v>519</v>
      </c>
      <c r="C402" s="10">
        <v>46085.409126567902</v>
      </c>
      <c r="D402" s="1" t="s">
        <v>7</v>
      </c>
      <c r="E402" s="1">
        <v>47.1</v>
      </c>
    </row>
    <row r="403" spans="1:5">
      <c r="A403" s="1" t="s">
        <v>627</v>
      </c>
      <c r="B403" s="1" t="s">
        <v>628</v>
      </c>
      <c r="C403" s="10">
        <v>46249.409126567902</v>
      </c>
      <c r="D403" s="1" t="s">
        <v>13</v>
      </c>
      <c r="E403" s="1">
        <v>10.89</v>
      </c>
    </row>
    <row r="404" spans="1:5">
      <c r="A404" s="1" t="s">
        <v>629</v>
      </c>
      <c r="B404" s="1" t="s">
        <v>471</v>
      </c>
      <c r="C404" s="10">
        <v>45993.409126567902</v>
      </c>
      <c r="D404" s="1" t="s">
        <v>50</v>
      </c>
      <c r="E404" s="1">
        <v>4.95</v>
      </c>
    </row>
    <row r="405" spans="1:5">
      <c r="A405" s="1" t="s">
        <v>630</v>
      </c>
      <c r="B405" s="1" t="s">
        <v>268</v>
      </c>
      <c r="C405" s="10">
        <v>46277.409126567902</v>
      </c>
      <c r="D405" s="1" t="s">
        <v>13</v>
      </c>
      <c r="E405" s="1">
        <v>12.64</v>
      </c>
    </row>
    <row r="406" spans="1:5">
      <c r="A406" s="1" t="s">
        <v>631</v>
      </c>
      <c r="B406" s="1" t="s">
        <v>351</v>
      </c>
      <c r="C406" s="10">
        <v>46240.409126567902</v>
      </c>
      <c r="D406" s="1" t="s">
        <v>50</v>
      </c>
      <c r="E406" s="1">
        <v>6</v>
      </c>
    </row>
    <row r="407" spans="1:5">
      <c r="A407" s="1" t="s">
        <v>632</v>
      </c>
      <c r="B407" s="1" t="s">
        <v>633</v>
      </c>
      <c r="C407" s="10">
        <v>46115.409126567902</v>
      </c>
      <c r="D407" s="1" t="s">
        <v>16</v>
      </c>
      <c r="E407" s="1">
        <v>8.42</v>
      </c>
    </row>
    <row r="408" spans="1:5">
      <c r="A408" s="1" t="s">
        <v>634</v>
      </c>
      <c r="B408" s="1" t="s">
        <v>202</v>
      </c>
      <c r="C408" s="10">
        <v>46105.409126567902</v>
      </c>
      <c r="D408" s="1" t="s">
        <v>50</v>
      </c>
      <c r="E408" s="1">
        <v>5</v>
      </c>
    </row>
    <row r="409" spans="1:5">
      <c r="A409" s="1" t="s">
        <v>635</v>
      </c>
      <c r="B409" s="1" t="s">
        <v>636</v>
      </c>
      <c r="C409" s="10">
        <v>46261.409126567902</v>
      </c>
      <c r="D409" s="1" t="s">
        <v>29</v>
      </c>
      <c r="E409" s="1">
        <v>23.85</v>
      </c>
    </row>
    <row r="410" spans="1:5">
      <c r="A410" s="1" t="s">
        <v>637</v>
      </c>
      <c r="B410" s="1" t="s">
        <v>368</v>
      </c>
      <c r="C410" s="10">
        <v>46206.409126567902</v>
      </c>
      <c r="D410" s="1" t="s">
        <v>13</v>
      </c>
      <c r="E410" s="1">
        <v>13.76</v>
      </c>
    </row>
    <row r="411" spans="1:5">
      <c r="A411" s="1" t="s">
        <v>638</v>
      </c>
      <c r="B411" s="1" t="s">
        <v>519</v>
      </c>
      <c r="C411" s="10">
        <v>45989.409126567902</v>
      </c>
      <c r="D411" s="1" t="s">
        <v>10</v>
      </c>
      <c r="E411" s="1">
        <v>14.86</v>
      </c>
    </row>
    <row r="412" spans="1:5">
      <c r="A412" s="1" t="s">
        <v>639</v>
      </c>
      <c r="B412" s="1" t="s">
        <v>118</v>
      </c>
      <c r="C412" s="10">
        <v>46036.409126567902</v>
      </c>
      <c r="D412" s="1" t="s">
        <v>16</v>
      </c>
      <c r="E412" s="1">
        <v>8.44</v>
      </c>
    </row>
    <row r="413" spans="1:5">
      <c r="A413" s="1" t="s">
        <v>640</v>
      </c>
      <c r="B413" s="1" t="s">
        <v>225</v>
      </c>
      <c r="C413" s="10">
        <v>46199.409126567902</v>
      </c>
      <c r="D413" s="1" t="s">
        <v>29</v>
      </c>
      <c r="E413" s="1">
        <v>26.34</v>
      </c>
    </row>
    <row r="414" spans="1:5">
      <c r="A414" s="1" t="s">
        <v>641</v>
      </c>
      <c r="B414" s="1" t="s">
        <v>642</v>
      </c>
      <c r="C414" s="10">
        <v>45988.409126567902</v>
      </c>
      <c r="D414" s="1" t="s">
        <v>7</v>
      </c>
      <c r="E414" s="1">
        <v>44.33</v>
      </c>
    </row>
    <row r="415" spans="1:5">
      <c r="A415" s="1" t="s">
        <v>643</v>
      </c>
      <c r="B415" s="1" t="s">
        <v>47</v>
      </c>
      <c r="C415" s="10">
        <v>45995.409126567902</v>
      </c>
      <c r="D415" s="1" t="s">
        <v>13</v>
      </c>
      <c r="E415" s="1">
        <v>9.61</v>
      </c>
    </row>
    <row r="416" spans="1:5">
      <c r="A416" s="1" t="s">
        <v>644</v>
      </c>
      <c r="B416" s="1" t="s">
        <v>645</v>
      </c>
      <c r="C416" s="10">
        <v>46043.409126567902</v>
      </c>
      <c r="D416" s="1" t="s">
        <v>10</v>
      </c>
      <c r="E416" s="1">
        <v>17.149999999999999</v>
      </c>
    </row>
    <row r="417" spans="1:5">
      <c r="A417" s="1" t="s">
        <v>646</v>
      </c>
      <c r="B417" s="1" t="s">
        <v>647</v>
      </c>
      <c r="C417" s="10">
        <v>45940.409126567902</v>
      </c>
      <c r="D417" s="1" t="s">
        <v>50</v>
      </c>
      <c r="E417" s="1">
        <v>4.37</v>
      </c>
    </row>
    <row r="418" spans="1:5">
      <c r="A418" s="1" t="s">
        <v>648</v>
      </c>
      <c r="B418" s="1" t="s">
        <v>47</v>
      </c>
      <c r="C418" s="10">
        <v>46038.409126567902</v>
      </c>
      <c r="D418" s="1" t="s">
        <v>10</v>
      </c>
      <c r="E418" s="1">
        <v>15.31</v>
      </c>
    </row>
    <row r="419" spans="1:5">
      <c r="A419" s="1" t="s">
        <v>649</v>
      </c>
      <c r="B419" s="1" t="s">
        <v>359</v>
      </c>
      <c r="C419" s="10">
        <v>46131.409126567902</v>
      </c>
      <c r="D419" s="1" t="s">
        <v>7</v>
      </c>
      <c r="E419" s="1">
        <v>38.65</v>
      </c>
    </row>
    <row r="420" spans="1:5">
      <c r="A420" s="1" t="s">
        <v>650</v>
      </c>
      <c r="B420" s="1" t="s">
        <v>340</v>
      </c>
      <c r="C420" s="10">
        <v>46197.409126567902</v>
      </c>
      <c r="D420" s="1" t="s">
        <v>16</v>
      </c>
      <c r="E420" s="1">
        <v>10.88</v>
      </c>
    </row>
    <row r="421" spans="1:5">
      <c r="A421" s="1" t="s">
        <v>651</v>
      </c>
      <c r="B421" s="1" t="s">
        <v>652</v>
      </c>
      <c r="C421" s="10">
        <v>46300.409126567902</v>
      </c>
      <c r="D421" s="1" t="s">
        <v>16</v>
      </c>
      <c r="E421" s="1">
        <v>9.48</v>
      </c>
    </row>
    <row r="422" spans="1:5">
      <c r="A422" s="1" t="s">
        <v>653</v>
      </c>
      <c r="B422" s="1" t="s">
        <v>279</v>
      </c>
      <c r="C422" s="10">
        <v>46285.409126567902</v>
      </c>
      <c r="D422" s="1" t="s">
        <v>13</v>
      </c>
      <c r="E422" s="1">
        <v>13.77</v>
      </c>
    </row>
    <row r="423" spans="1:5">
      <c r="A423" s="1" t="s">
        <v>654</v>
      </c>
      <c r="B423" s="1" t="s">
        <v>655</v>
      </c>
      <c r="C423" s="10">
        <v>45982.409126567902</v>
      </c>
      <c r="D423" s="1" t="s">
        <v>16</v>
      </c>
      <c r="E423" s="1">
        <v>10.92</v>
      </c>
    </row>
    <row r="424" spans="1:5">
      <c r="A424" s="1" t="s">
        <v>656</v>
      </c>
      <c r="B424" s="1" t="s">
        <v>657</v>
      </c>
      <c r="C424" s="10">
        <v>46290.409126567902</v>
      </c>
      <c r="D424" s="1" t="s">
        <v>13</v>
      </c>
      <c r="E424" s="1">
        <v>12.71</v>
      </c>
    </row>
    <row r="425" spans="1:5">
      <c r="A425" s="1" t="s">
        <v>658</v>
      </c>
      <c r="B425" s="1" t="s">
        <v>309</v>
      </c>
      <c r="C425" s="10">
        <v>46246.409126567902</v>
      </c>
      <c r="D425" s="1" t="s">
        <v>13</v>
      </c>
      <c r="E425" s="1">
        <v>13.42</v>
      </c>
    </row>
    <row r="426" spans="1:5">
      <c r="A426" s="1" t="s">
        <v>659</v>
      </c>
      <c r="B426" s="1" t="s">
        <v>465</v>
      </c>
      <c r="C426" s="10">
        <v>46243.409126567902</v>
      </c>
      <c r="D426" s="1" t="s">
        <v>13</v>
      </c>
      <c r="E426" s="1">
        <v>13.22</v>
      </c>
    </row>
    <row r="427" spans="1:5">
      <c r="A427" s="1" t="s">
        <v>660</v>
      </c>
      <c r="B427" s="1" t="s">
        <v>213</v>
      </c>
      <c r="C427" s="10">
        <v>46079.409126567902</v>
      </c>
      <c r="D427" s="1" t="s">
        <v>50</v>
      </c>
      <c r="E427" s="1">
        <v>4.07</v>
      </c>
    </row>
    <row r="428" spans="1:5">
      <c r="A428" s="1" t="s">
        <v>661</v>
      </c>
      <c r="B428" s="1" t="s">
        <v>110</v>
      </c>
      <c r="C428" s="10">
        <v>46204.409126567902</v>
      </c>
      <c r="D428" s="1" t="s">
        <v>29</v>
      </c>
      <c r="E428" s="1">
        <v>23.95</v>
      </c>
    </row>
    <row r="429" spans="1:5">
      <c r="A429" s="1" t="s">
        <v>662</v>
      </c>
      <c r="B429" s="1" t="s">
        <v>500</v>
      </c>
      <c r="C429" s="10">
        <v>46059.409126567902</v>
      </c>
      <c r="D429" s="1" t="s">
        <v>13</v>
      </c>
      <c r="E429" s="1">
        <v>14.07</v>
      </c>
    </row>
    <row r="430" spans="1:5">
      <c r="A430" s="1" t="s">
        <v>663</v>
      </c>
      <c r="B430" s="1" t="s">
        <v>537</v>
      </c>
      <c r="C430" s="10">
        <v>46041.409126567902</v>
      </c>
      <c r="D430" s="1" t="s">
        <v>13</v>
      </c>
      <c r="E430" s="1">
        <v>10.199999999999999</v>
      </c>
    </row>
    <row r="431" spans="1:5">
      <c r="A431" s="1" t="s">
        <v>664</v>
      </c>
      <c r="B431" s="1" t="s">
        <v>665</v>
      </c>
      <c r="C431" s="10">
        <v>46093.409126567902</v>
      </c>
      <c r="D431" s="1" t="s">
        <v>29</v>
      </c>
      <c r="E431" s="1">
        <v>27.37</v>
      </c>
    </row>
    <row r="432" spans="1:5">
      <c r="A432" s="1" t="s">
        <v>666</v>
      </c>
      <c r="B432" s="1" t="s">
        <v>514</v>
      </c>
      <c r="C432" s="10">
        <v>46082.409126567902</v>
      </c>
      <c r="D432" s="1" t="s">
        <v>10</v>
      </c>
      <c r="E432" s="1">
        <v>17.850000000000001</v>
      </c>
    </row>
    <row r="433" spans="1:5">
      <c r="A433" s="1" t="s">
        <v>667</v>
      </c>
      <c r="B433" s="1" t="s">
        <v>213</v>
      </c>
      <c r="C433" s="10">
        <v>46080.409126567902</v>
      </c>
      <c r="D433" s="1" t="s">
        <v>13</v>
      </c>
      <c r="E433" s="1">
        <v>9.85</v>
      </c>
    </row>
    <row r="434" spans="1:5">
      <c r="A434" s="1" t="s">
        <v>668</v>
      </c>
      <c r="B434" s="1" t="s">
        <v>546</v>
      </c>
      <c r="C434" s="10">
        <v>46055.409126567902</v>
      </c>
      <c r="D434" s="1" t="s">
        <v>50</v>
      </c>
      <c r="E434" s="1">
        <v>5.36</v>
      </c>
    </row>
    <row r="435" spans="1:5">
      <c r="A435" s="1" t="s">
        <v>669</v>
      </c>
      <c r="B435" s="1" t="s">
        <v>120</v>
      </c>
      <c r="C435" s="10">
        <v>46254.409126567902</v>
      </c>
      <c r="D435" s="1" t="s">
        <v>16</v>
      </c>
      <c r="E435" s="1">
        <v>9.8699999999999992</v>
      </c>
    </row>
    <row r="436" spans="1:5">
      <c r="A436" s="1" t="s">
        <v>670</v>
      </c>
      <c r="B436" s="1" t="s">
        <v>92</v>
      </c>
      <c r="C436" s="10">
        <v>46210.409126567902</v>
      </c>
      <c r="D436" s="1" t="s">
        <v>16</v>
      </c>
      <c r="E436" s="1">
        <v>10.32</v>
      </c>
    </row>
    <row r="437" spans="1:5">
      <c r="A437" s="1" t="s">
        <v>671</v>
      </c>
      <c r="B437" s="1" t="s">
        <v>192</v>
      </c>
      <c r="C437" s="10">
        <v>46027.409126567902</v>
      </c>
      <c r="D437" s="1" t="s">
        <v>7</v>
      </c>
      <c r="E437" s="1">
        <v>33.369999999999997</v>
      </c>
    </row>
    <row r="438" spans="1:5">
      <c r="A438" s="1" t="s">
        <v>672</v>
      </c>
      <c r="B438" s="1" t="s">
        <v>80</v>
      </c>
      <c r="C438" s="10">
        <v>45993.409126567902</v>
      </c>
      <c r="D438" s="1" t="s">
        <v>7</v>
      </c>
      <c r="E438" s="1">
        <v>32.69</v>
      </c>
    </row>
    <row r="439" spans="1:5">
      <c r="A439" s="1" t="s">
        <v>673</v>
      </c>
      <c r="B439" s="1" t="s">
        <v>418</v>
      </c>
      <c r="C439" s="10">
        <v>46281.409126567902</v>
      </c>
      <c r="D439" s="1" t="s">
        <v>16</v>
      </c>
      <c r="E439" s="1">
        <v>10.67</v>
      </c>
    </row>
    <row r="440" spans="1:5">
      <c r="A440" s="1" t="s">
        <v>674</v>
      </c>
      <c r="B440" s="1" t="s">
        <v>110</v>
      </c>
      <c r="C440" s="10">
        <v>46164.409126567902</v>
      </c>
      <c r="D440" s="1" t="s">
        <v>16</v>
      </c>
      <c r="E440" s="1">
        <v>11.29</v>
      </c>
    </row>
    <row r="441" spans="1:5">
      <c r="A441" s="1" t="s">
        <v>675</v>
      </c>
      <c r="B441" s="1" t="s">
        <v>592</v>
      </c>
      <c r="C441" s="10">
        <v>46052.409126567902</v>
      </c>
      <c r="D441" s="1" t="s">
        <v>50</v>
      </c>
      <c r="E441" s="1">
        <v>5.56</v>
      </c>
    </row>
    <row r="442" spans="1:5">
      <c r="A442" s="1" t="s">
        <v>676</v>
      </c>
      <c r="B442" s="1" t="s">
        <v>677</v>
      </c>
      <c r="C442" s="10">
        <v>46253.409126567902</v>
      </c>
      <c r="D442" s="1" t="s">
        <v>29</v>
      </c>
      <c r="E442" s="1">
        <v>25.44</v>
      </c>
    </row>
    <row r="443" spans="1:5">
      <c r="A443" s="1" t="s">
        <v>678</v>
      </c>
      <c r="B443" s="1" t="s">
        <v>679</v>
      </c>
      <c r="C443" s="10">
        <v>46214.409126567902</v>
      </c>
      <c r="D443" s="1" t="s">
        <v>7</v>
      </c>
      <c r="E443" s="1">
        <v>33.6</v>
      </c>
    </row>
    <row r="444" spans="1:5">
      <c r="A444" s="1" t="s">
        <v>680</v>
      </c>
      <c r="B444" s="1" t="s">
        <v>429</v>
      </c>
      <c r="C444" s="10">
        <v>46062.409126567902</v>
      </c>
      <c r="D444" s="1" t="s">
        <v>29</v>
      </c>
      <c r="E444" s="1">
        <v>26.88</v>
      </c>
    </row>
    <row r="445" spans="1:5">
      <c r="A445" s="1" t="s">
        <v>681</v>
      </c>
      <c r="B445" s="1" t="s">
        <v>682</v>
      </c>
      <c r="C445" s="10">
        <v>46064.409126567902</v>
      </c>
      <c r="D445" s="1" t="s">
        <v>50</v>
      </c>
      <c r="E445" s="1">
        <v>4.4800000000000004</v>
      </c>
    </row>
    <row r="446" spans="1:5">
      <c r="A446" s="1" t="s">
        <v>683</v>
      </c>
      <c r="B446" s="1" t="s">
        <v>190</v>
      </c>
      <c r="C446" s="10">
        <v>45993.409126567902</v>
      </c>
      <c r="D446" s="1" t="s">
        <v>16</v>
      </c>
      <c r="E446" s="1">
        <v>11.64</v>
      </c>
    </row>
    <row r="447" spans="1:5">
      <c r="A447" s="1" t="s">
        <v>684</v>
      </c>
      <c r="B447" s="1" t="s">
        <v>106</v>
      </c>
      <c r="C447" s="10">
        <v>46057.409126567902</v>
      </c>
      <c r="D447" s="1" t="s">
        <v>13</v>
      </c>
      <c r="E447" s="1">
        <v>13.62</v>
      </c>
    </row>
    <row r="448" spans="1:5">
      <c r="A448" s="1" t="s">
        <v>685</v>
      </c>
      <c r="B448" s="1" t="s">
        <v>179</v>
      </c>
      <c r="C448" s="10">
        <v>45936.409126567902</v>
      </c>
      <c r="D448" s="1" t="s">
        <v>29</v>
      </c>
      <c r="E448" s="1">
        <v>27.09</v>
      </c>
    </row>
    <row r="449" spans="1:5">
      <c r="A449" s="1" t="s">
        <v>686</v>
      </c>
      <c r="B449" s="1" t="s">
        <v>687</v>
      </c>
      <c r="C449" s="10">
        <v>46174.409126567902</v>
      </c>
      <c r="D449" s="1" t="s">
        <v>16</v>
      </c>
      <c r="E449" s="1">
        <v>11.8</v>
      </c>
    </row>
    <row r="450" spans="1:5">
      <c r="A450" s="1" t="s">
        <v>688</v>
      </c>
      <c r="B450" s="1" t="s">
        <v>418</v>
      </c>
      <c r="C450" s="10">
        <v>46225.409126567902</v>
      </c>
      <c r="D450" s="1" t="s">
        <v>16</v>
      </c>
      <c r="E450" s="1">
        <v>8.1300000000000008</v>
      </c>
    </row>
    <row r="451" spans="1:5">
      <c r="A451" s="1" t="s">
        <v>689</v>
      </c>
      <c r="B451" s="1" t="s">
        <v>200</v>
      </c>
      <c r="C451" s="10">
        <v>46031.409126567902</v>
      </c>
      <c r="D451" s="1" t="s">
        <v>10</v>
      </c>
      <c r="E451" s="1">
        <v>16.420000000000002</v>
      </c>
    </row>
    <row r="452" spans="1:5">
      <c r="A452" s="1" t="s">
        <v>690</v>
      </c>
      <c r="B452" s="1" t="s">
        <v>691</v>
      </c>
      <c r="C452" s="10">
        <v>46061.409126567902</v>
      </c>
      <c r="D452" s="1" t="s">
        <v>29</v>
      </c>
      <c r="E452" s="1">
        <v>23.3</v>
      </c>
    </row>
    <row r="453" spans="1:5">
      <c r="A453" s="1" t="s">
        <v>692</v>
      </c>
      <c r="B453" s="1" t="s">
        <v>6</v>
      </c>
      <c r="C453" s="10">
        <v>46053.409126567902</v>
      </c>
      <c r="D453" s="1" t="s">
        <v>13</v>
      </c>
      <c r="E453" s="1">
        <v>13.95</v>
      </c>
    </row>
    <row r="454" spans="1:5">
      <c r="A454" s="1" t="s">
        <v>693</v>
      </c>
      <c r="B454" s="1" t="s">
        <v>694</v>
      </c>
      <c r="C454" s="10">
        <v>45983.409126567902</v>
      </c>
      <c r="D454" s="1" t="s">
        <v>29</v>
      </c>
      <c r="E454" s="1">
        <v>22.67</v>
      </c>
    </row>
    <row r="455" spans="1:5">
      <c r="A455" s="1" t="s">
        <v>695</v>
      </c>
      <c r="B455" s="1" t="s">
        <v>76</v>
      </c>
      <c r="C455" s="10">
        <v>46024.409126567902</v>
      </c>
      <c r="D455" s="1" t="s">
        <v>16</v>
      </c>
      <c r="E455" s="1">
        <v>10.9</v>
      </c>
    </row>
    <row r="456" spans="1:5">
      <c r="A456" s="1" t="s">
        <v>696</v>
      </c>
      <c r="B456" s="1" t="s">
        <v>18</v>
      </c>
      <c r="C456" s="10">
        <v>46172.409126567902</v>
      </c>
      <c r="D456" s="1" t="s">
        <v>13</v>
      </c>
      <c r="E456" s="1">
        <v>13.81</v>
      </c>
    </row>
    <row r="457" spans="1:5">
      <c r="A457" s="1" t="s">
        <v>697</v>
      </c>
      <c r="B457" s="1" t="s">
        <v>355</v>
      </c>
      <c r="C457" s="10">
        <v>46207.409126567902</v>
      </c>
      <c r="D457" s="1" t="s">
        <v>50</v>
      </c>
      <c r="E457" s="1">
        <v>4.08</v>
      </c>
    </row>
    <row r="458" spans="1:5">
      <c r="A458" s="1" t="s">
        <v>698</v>
      </c>
      <c r="B458" s="1" t="s">
        <v>171</v>
      </c>
      <c r="C458" s="10">
        <v>46124.409126567902</v>
      </c>
      <c r="D458" s="1" t="s">
        <v>10</v>
      </c>
      <c r="E458" s="1">
        <v>14.39</v>
      </c>
    </row>
    <row r="459" spans="1:5">
      <c r="A459" s="1" t="s">
        <v>699</v>
      </c>
      <c r="B459" s="1" t="s">
        <v>303</v>
      </c>
      <c r="C459" s="10">
        <v>46127.409126567902</v>
      </c>
      <c r="D459" s="1" t="s">
        <v>16</v>
      </c>
      <c r="E459" s="1">
        <v>11.05</v>
      </c>
    </row>
    <row r="460" spans="1:5">
      <c r="A460" s="1" t="s">
        <v>700</v>
      </c>
      <c r="B460" s="1" t="s">
        <v>279</v>
      </c>
      <c r="C460" s="10">
        <v>46004.409126567902</v>
      </c>
      <c r="D460" s="1" t="s">
        <v>7</v>
      </c>
      <c r="E460" s="1">
        <v>39.28</v>
      </c>
    </row>
    <row r="461" spans="1:5">
      <c r="A461" s="1" t="s">
        <v>701</v>
      </c>
      <c r="B461" s="1" t="s">
        <v>439</v>
      </c>
      <c r="C461" s="10">
        <v>46213.409126567902</v>
      </c>
      <c r="D461" s="1" t="s">
        <v>7</v>
      </c>
      <c r="E461" s="1">
        <v>36.28</v>
      </c>
    </row>
    <row r="462" spans="1:5">
      <c r="A462" s="1" t="s">
        <v>702</v>
      </c>
      <c r="B462" s="1" t="s">
        <v>703</v>
      </c>
      <c r="C462" s="10">
        <v>46284.409126567902</v>
      </c>
      <c r="D462" s="1" t="s">
        <v>10</v>
      </c>
      <c r="E462" s="1">
        <v>13.32</v>
      </c>
    </row>
    <row r="463" spans="1:5">
      <c r="A463" s="1" t="s">
        <v>704</v>
      </c>
      <c r="B463" s="1" t="s">
        <v>411</v>
      </c>
      <c r="C463" s="10">
        <v>46182.409126567902</v>
      </c>
      <c r="D463" s="1" t="s">
        <v>50</v>
      </c>
      <c r="E463" s="1">
        <v>4.26</v>
      </c>
    </row>
    <row r="464" spans="1:5">
      <c r="A464" s="1" t="s">
        <v>705</v>
      </c>
      <c r="B464" s="1" t="s">
        <v>691</v>
      </c>
      <c r="C464" s="10">
        <v>46011.409126567902</v>
      </c>
      <c r="D464" s="1" t="s">
        <v>16</v>
      </c>
      <c r="E464" s="1">
        <v>11.43</v>
      </c>
    </row>
    <row r="465" spans="1:5">
      <c r="A465" s="1" t="s">
        <v>706</v>
      </c>
      <c r="B465" s="1" t="s">
        <v>546</v>
      </c>
      <c r="C465" s="10">
        <v>46089.409126567902</v>
      </c>
      <c r="D465" s="1" t="s">
        <v>29</v>
      </c>
      <c r="E465" s="1">
        <v>25.75</v>
      </c>
    </row>
    <row r="466" spans="1:5">
      <c r="A466" s="1" t="s">
        <v>707</v>
      </c>
      <c r="B466" s="1" t="s">
        <v>12</v>
      </c>
      <c r="C466" s="10">
        <v>46079.409126567902</v>
      </c>
      <c r="D466" s="1" t="s">
        <v>10</v>
      </c>
      <c r="E466" s="1">
        <v>12.46</v>
      </c>
    </row>
    <row r="467" spans="1:5">
      <c r="A467" s="1" t="s">
        <v>708</v>
      </c>
      <c r="B467" s="1" t="s">
        <v>80</v>
      </c>
      <c r="C467" s="10">
        <v>46021.409126567902</v>
      </c>
      <c r="D467" s="1" t="s">
        <v>50</v>
      </c>
      <c r="E467" s="1">
        <v>4.7699999999999996</v>
      </c>
    </row>
    <row r="468" spans="1:5">
      <c r="A468" s="1" t="s">
        <v>709</v>
      </c>
      <c r="B468" s="1" t="s">
        <v>112</v>
      </c>
      <c r="C468" s="10">
        <v>46120.409126567902</v>
      </c>
      <c r="D468" s="1" t="s">
        <v>29</v>
      </c>
      <c r="E468" s="1">
        <v>23.68</v>
      </c>
    </row>
    <row r="469" spans="1:5">
      <c r="A469" s="1" t="s">
        <v>710</v>
      </c>
      <c r="B469" s="1" t="s">
        <v>161</v>
      </c>
      <c r="C469" s="10">
        <v>46220.409126567902</v>
      </c>
      <c r="D469" s="1" t="s">
        <v>7</v>
      </c>
      <c r="E469" s="1">
        <v>34.909999999999997</v>
      </c>
    </row>
    <row r="470" spans="1:5">
      <c r="A470" s="1" t="s">
        <v>711</v>
      </c>
      <c r="B470" s="1" t="s">
        <v>655</v>
      </c>
      <c r="C470" s="10">
        <v>46155.409126567902</v>
      </c>
      <c r="D470" s="1" t="s">
        <v>7</v>
      </c>
      <c r="E470" s="1">
        <v>38.97</v>
      </c>
    </row>
    <row r="471" spans="1:5">
      <c r="A471" s="1" t="s">
        <v>712</v>
      </c>
      <c r="B471" s="1" t="s">
        <v>713</v>
      </c>
      <c r="C471" s="10">
        <v>46004.409126567902</v>
      </c>
      <c r="D471" s="1" t="s">
        <v>29</v>
      </c>
      <c r="E471" s="1">
        <v>23.32</v>
      </c>
    </row>
    <row r="472" spans="1:5">
      <c r="A472" s="1" t="s">
        <v>714</v>
      </c>
      <c r="B472" s="1" t="s">
        <v>519</v>
      </c>
      <c r="C472" s="10">
        <v>45982.409126567902</v>
      </c>
      <c r="D472" s="1" t="s">
        <v>10</v>
      </c>
      <c r="E472" s="1">
        <v>14.05</v>
      </c>
    </row>
    <row r="473" spans="1:5">
      <c r="A473" s="1" t="s">
        <v>715</v>
      </c>
      <c r="B473" s="1" t="s">
        <v>633</v>
      </c>
      <c r="C473" s="10">
        <v>46029.409126567902</v>
      </c>
      <c r="D473" s="1" t="s">
        <v>7</v>
      </c>
      <c r="E473" s="1">
        <v>43.82</v>
      </c>
    </row>
    <row r="474" spans="1:5">
      <c r="A474" s="1" t="s">
        <v>716</v>
      </c>
      <c r="B474" s="1" t="s">
        <v>374</v>
      </c>
      <c r="C474" s="10">
        <v>46173.409126567902</v>
      </c>
      <c r="D474" s="1" t="s">
        <v>16</v>
      </c>
      <c r="E474" s="1">
        <v>8.89</v>
      </c>
    </row>
    <row r="475" spans="1:5">
      <c r="A475" s="1" t="s">
        <v>717</v>
      </c>
      <c r="B475" s="1" t="s">
        <v>84</v>
      </c>
      <c r="C475" s="10">
        <v>46139.409126567902</v>
      </c>
      <c r="D475" s="1" t="s">
        <v>13</v>
      </c>
      <c r="E475" s="1">
        <v>12.68</v>
      </c>
    </row>
    <row r="476" spans="1:5">
      <c r="A476" s="1" t="s">
        <v>718</v>
      </c>
      <c r="B476" s="1" t="s">
        <v>719</v>
      </c>
      <c r="C476" s="10">
        <v>46153.409126567902</v>
      </c>
      <c r="D476" s="1" t="s">
        <v>29</v>
      </c>
      <c r="E476" s="1">
        <v>25.71</v>
      </c>
    </row>
    <row r="477" spans="1:5">
      <c r="A477" s="1" t="s">
        <v>720</v>
      </c>
      <c r="B477" s="1" t="s">
        <v>460</v>
      </c>
      <c r="C477" s="10">
        <v>46276.409126567902</v>
      </c>
      <c r="D477" s="1" t="s">
        <v>29</v>
      </c>
      <c r="E477" s="1">
        <v>25.68</v>
      </c>
    </row>
    <row r="478" spans="1:5">
      <c r="A478" s="1" t="s">
        <v>721</v>
      </c>
      <c r="B478" s="1" t="s">
        <v>62</v>
      </c>
      <c r="C478" s="10">
        <v>45974.409126567902</v>
      </c>
      <c r="D478" s="1" t="s">
        <v>7</v>
      </c>
      <c r="E478" s="1">
        <v>42.61</v>
      </c>
    </row>
    <row r="479" spans="1:5">
      <c r="A479" s="1" t="s">
        <v>722</v>
      </c>
      <c r="B479" s="1" t="s">
        <v>723</v>
      </c>
      <c r="C479" s="10">
        <v>46035.409126567902</v>
      </c>
      <c r="D479" s="1" t="s">
        <v>10</v>
      </c>
      <c r="E479" s="1">
        <v>15.29</v>
      </c>
    </row>
    <row r="480" spans="1:5">
      <c r="A480" s="1" t="s">
        <v>724</v>
      </c>
      <c r="B480" s="1" t="s">
        <v>151</v>
      </c>
      <c r="C480" s="10">
        <v>46224.409126567902</v>
      </c>
      <c r="D480" s="1" t="s">
        <v>16</v>
      </c>
      <c r="E480" s="1">
        <v>11.52</v>
      </c>
    </row>
    <row r="481" spans="1:5">
      <c r="A481" s="1" t="s">
        <v>725</v>
      </c>
      <c r="B481" s="1" t="s">
        <v>225</v>
      </c>
      <c r="C481" s="10">
        <v>46189.409126567902</v>
      </c>
      <c r="D481" s="1" t="s">
        <v>10</v>
      </c>
      <c r="E481" s="1">
        <v>16.05</v>
      </c>
    </row>
    <row r="482" spans="1:5">
      <c r="A482" s="1" t="s">
        <v>726</v>
      </c>
      <c r="B482" s="1" t="s">
        <v>49</v>
      </c>
      <c r="C482" s="10">
        <v>46157.409126567902</v>
      </c>
      <c r="D482" s="1" t="s">
        <v>50</v>
      </c>
      <c r="E482" s="1">
        <v>5.09</v>
      </c>
    </row>
    <row r="483" spans="1:5">
      <c r="A483" s="1" t="s">
        <v>727</v>
      </c>
      <c r="B483" s="1" t="s">
        <v>407</v>
      </c>
      <c r="C483" s="10">
        <v>46292.409126567902</v>
      </c>
      <c r="D483" s="1" t="s">
        <v>50</v>
      </c>
      <c r="E483" s="1">
        <v>5.66</v>
      </c>
    </row>
    <row r="484" spans="1:5">
      <c r="A484" s="1" t="s">
        <v>728</v>
      </c>
      <c r="B484" s="1" t="s">
        <v>418</v>
      </c>
      <c r="C484" s="10">
        <v>45958.409126567902</v>
      </c>
      <c r="D484" s="1" t="s">
        <v>13</v>
      </c>
      <c r="E484" s="1">
        <v>12.51</v>
      </c>
    </row>
    <row r="485" spans="1:5">
      <c r="A485" s="1" t="s">
        <v>729</v>
      </c>
      <c r="B485" s="1" t="s">
        <v>628</v>
      </c>
      <c r="C485" s="10">
        <v>46185.409126567902</v>
      </c>
      <c r="D485" s="1" t="s">
        <v>7</v>
      </c>
      <c r="E485" s="1">
        <v>36.659999999999997</v>
      </c>
    </row>
    <row r="486" spans="1:5">
      <c r="A486" s="1" t="s">
        <v>730</v>
      </c>
      <c r="B486" s="1" t="s">
        <v>439</v>
      </c>
      <c r="C486" s="10">
        <v>45945.409126567902</v>
      </c>
      <c r="D486" s="1" t="s">
        <v>7</v>
      </c>
      <c r="E486" s="1">
        <v>35.31</v>
      </c>
    </row>
    <row r="487" spans="1:5">
      <c r="A487" s="1" t="s">
        <v>731</v>
      </c>
      <c r="B487" s="1" t="s">
        <v>441</v>
      </c>
      <c r="C487" s="10">
        <v>46181.409126567902</v>
      </c>
      <c r="D487" s="1" t="s">
        <v>7</v>
      </c>
      <c r="E487" s="1">
        <v>34.44</v>
      </c>
    </row>
    <row r="488" spans="1:5">
      <c r="A488" s="1" t="s">
        <v>732</v>
      </c>
      <c r="B488" s="1" t="s">
        <v>256</v>
      </c>
      <c r="C488" s="10">
        <v>46260.409126567902</v>
      </c>
      <c r="D488" s="1" t="s">
        <v>13</v>
      </c>
      <c r="E488" s="1">
        <v>13.92</v>
      </c>
    </row>
    <row r="489" spans="1:5">
      <c r="A489" s="1" t="s">
        <v>733</v>
      </c>
      <c r="B489" s="1" t="s">
        <v>18</v>
      </c>
      <c r="C489" s="10">
        <v>46035.409126567902</v>
      </c>
      <c r="D489" s="1" t="s">
        <v>50</v>
      </c>
      <c r="E489" s="1">
        <v>5.42</v>
      </c>
    </row>
    <row r="490" spans="1:5">
      <c r="A490" s="1" t="s">
        <v>734</v>
      </c>
      <c r="B490" s="1" t="s">
        <v>418</v>
      </c>
      <c r="C490" s="10">
        <v>46225.409126567902</v>
      </c>
      <c r="D490" s="1" t="s">
        <v>10</v>
      </c>
      <c r="E490" s="1">
        <v>17.62</v>
      </c>
    </row>
    <row r="491" spans="1:5">
      <c r="A491" s="1" t="s">
        <v>735</v>
      </c>
      <c r="B491" s="1" t="s">
        <v>736</v>
      </c>
      <c r="C491" s="10">
        <v>46115.409126567902</v>
      </c>
      <c r="D491" s="1" t="s">
        <v>13</v>
      </c>
      <c r="E491" s="1">
        <v>12.5</v>
      </c>
    </row>
    <row r="492" spans="1:5">
      <c r="A492" s="1" t="s">
        <v>737</v>
      </c>
      <c r="B492" s="1" t="s">
        <v>39</v>
      </c>
      <c r="C492" s="10">
        <v>46158.409126567902</v>
      </c>
      <c r="D492" s="1" t="s">
        <v>13</v>
      </c>
      <c r="E492" s="1">
        <v>11.87</v>
      </c>
    </row>
    <row r="493" spans="1:5">
      <c r="A493" s="1" t="s">
        <v>738</v>
      </c>
      <c r="B493" s="1" t="s">
        <v>268</v>
      </c>
      <c r="C493" s="10">
        <v>46185.409126567902</v>
      </c>
      <c r="D493" s="1" t="s">
        <v>10</v>
      </c>
      <c r="E493" s="1">
        <v>12.36</v>
      </c>
    </row>
    <row r="494" spans="1:5">
      <c r="A494" s="1" t="s">
        <v>739</v>
      </c>
      <c r="B494" s="1" t="s">
        <v>601</v>
      </c>
      <c r="C494" s="10">
        <v>46082.409126567902</v>
      </c>
      <c r="D494" s="1" t="s">
        <v>7</v>
      </c>
      <c r="E494" s="1">
        <v>42.75</v>
      </c>
    </row>
    <row r="495" spans="1:5">
      <c r="A495" s="1" t="s">
        <v>740</v>
      </c>
      <c r="B495" s="1" t="s">
        <v>258</v>
      </c>
      <c r="C495" s="10">
        <v>46031.409126567902</v>
      </c>
      <c r="D495" s="1" t="s">
        <v>16</v>
      </c>
      <c r="E495" s="1">
        <v>10.33</v>
      </c>
    </row>
    <row r="496" spans="1:5">
      <c r="A496" s="1" t="s">
        <v>741</v>
      </c>
      <c r="B496" s="1" t="s">
        <v>742</v>
      </c>
      <c r="C496" s="10">
        <v>46192.409126567902</v>
      </c>
      <c r="D496" s="1" t="s">
        <v>10</v>
      </c>
      <c r="E496" s="1">
        <v>17.940000000000001</v>
      </c>
    </row>
    <row r="497" spans="1:5">
      <c r="A497" s="1" t="s">
        <v>743</v>
      </c>
      <c r="B497" s="1" t="s">
        <v>601</v>
      </c>
      <c r="C497" s="10">
        <v>46260.409126567902</v>
      </c>
      <c r="D497" s="1" t="s">
        <v>50</v>
      </c>
      <c r="E497" s="1">
        <v>4.4800000000000004</v>
      </c>
    </row>
    <row r="498" spans="1:5">
      <c r="A498" s="1" t="s">
        <v>744</v>
      </c>
      <c r="B498" s="1" t="s">
        <v>745</v>
      </c>
      <c r="C498" s="10">
        <v>45939.409126567902</v>
      </c>
      <c r="D498" s="1" t="s">
        <v>29</v>
      </c>
      <c r="E498" s="1">
        <v>25.31</v>
      </c>
    </row>
    <row r="499" spans="1:5">
      <c r="A499" s="1" t="s">
        <v>746</v>
      </c>
      <c r="B499" s="1" t="s">
        <v>424</v>
      </c>
      <c r="C499" s="10">
        <v>45951.409126567902</v>
      </c>
      <c r="D499" s="1" t="s">
        <v>29</v>
      </c>
      <c r="E499" s="1">
        <v>26.51</v>
      </c>
    </row>
    <row r="500" spans="1:5">
      <c r="A500" s="1" t="s">
        <v>747</v>
      </c>
      <c r="B500" s="1" t="s">
        <v>327</v>
      </c>
      <c r="C500" s="10">
        <v>46215.409126567902</v>
      </c>
      <c r="D500" s="1" t="s">
        <v>13</v>
      </c>
      <c r="E500" s="1">
        <v>12.69</v>
      </c>
    </row>
    <row r="501" spans="1:5">
      <c r="A501" s="1" t="s">
        <v>748</v>
      </c>
      <c r="B501" s="1" t="s">
        <v>441</v>
      </c>
      <c r="C501" s="10">
        <v>46271.409126567902</v>
      </c>
      <c r="D501" s="1" t="s">
        <v>29</v>
      </c>
      <c r="E501" s="1">
        <v>25.61</v>
      </c>
    </row>
    <row r="502" spans="1:5">
      <c r="A502" s="1" t="s">
        <v>749</v>
      </c>
      <c r="B502" s="1" t="s">
        <v>300</v>
      </c>
      <c r="C502" s="10">
        <v>46182.409126567902</v>
      </c>
      <c r="D502" s="1" t="s">
        <v>16</v>
      </c>
      <c r="E502" s="1">
        <v>11.11</v>
      </c>
    </row>
    <row r="503" spans="1:5">
      <c r="A503" s="1" t="s">
        <v>750</v>
      </c>
      <c r="B503" s="1" t="s">
        <v>177</v>
      </c>
      <c r="C503" s="10">
        <v>46193.409126567902</v>
      </c>
      <c r="D503" s="1" t="s">
        <v>7</v>
      </c>
      <c r="E503" s="1">
        <v>35.28</v>
      </c>
    </row>
    <row r="504" spans="1:5">
      <c r="A504" s="1" t="s">
        <v>751</v>
      </c>
      <c r="B504" s="1" t="s">
        <v>752</v>
      </c>
      <c r="C504" s="10">
        <v>46095.409126567902</v>
      </c>
      <c r="D504" s="1" t="s">
        <v>50</v>
      </c>
      <c r="E504" s="1">
        <v>5.45</v>
      </c>
    </row>
    <row r="505" spans="1:5">
      <c r="A505" s="1" t="s">
        <v>753</v>
      </c>
      <c r="B505" s="1" t="s">
        <v>754</v>
      </c>
      <c r="C505" s="10">
        <v>46275.409126567902</v>
      </c>
      <c r="D505" s="1" t="s">
        <v>16</v>
      </c>
      <c r="E505" s="1">
        <v>10.48</v>
      </c>
    </row>
    <row r="506" spans="1:5">
      <c r="A506" s="1" t="s">
        <v>755</v>
      </c>
      <c r="B506" s="1" t="s">
        <v>441</v>
      </c>
      <c r="C506" s="10">
        <v>46087.409126567902</v>
      </c>
      <c r="D506" s="1" t="s">
        <v>50</v>
      </c>
      <c r="E506" s="1">
        <v>5.79</v>
      </c>
    </row>
    <row r="507" spans="1:5">
      <c r="A507" s="1" t="s">
        <v>756</v>
      </c>
      <c r="B507" s="1" t="s">
        <v>441</v>
      </c>
      <c r="C507" s="10">
        <v>46113.409126567902</v>
      </c>
      <c r="D507" s="1" t="s">
        <v>50</v>
      </c>
      <c r="E507" s="1">
        <v>5.69</v>
      </c>
    </row>
    <row r="508" spans="1:5">
      <c r="A508" s="1" t="s">
        <v>757</v>
      </c>
      <c r="B508" s="1" t="s">
        <v>86</v>
      </c>
      <c r="C508" s="10">
        <v>46098.409126567902</v>
      </c>
      <c r="D508" s="1" t="s">
        <v>7</v>
      </c>
      <c r="E508" s="1">
        <v>37.04</v>
      </c>
    </row>
    <row r="509" spans="1:5">
      <c r="A509" s="1" t="s">
        <v>758</v>
      </c>
      <c r="B509" s="1" t="s">
        <v>134</v>
      </c>
      <c r="C509" s="10">
        <v>45968.409126567902</v>
      </c>
      <c r="D509" s="1" t="s">
        <v>13</v>
      </c>
      <c r="E509" s="1">
        <v>10.93</v>
      </c>
    </row>
    <row r="510" spans="1:5">
      <c r="A510" s="1" t="s">
        <v>759</v>
      </c>
      <c r="B510" s="1" t="s">
        <v>694</v>
      </c>
      <c r="C510" s="10">
        <v>46114.409126567902</v>
      </c>
      <c r="D510" s="1" t="s">
        <v>29</v>
      </c>
      <c r="E510" s="1">
        <v>29.82</v>
      </c>
    </row>
    <row r="511" spans="1:5">
      <c r="A511" s="1" t="s">
        <v>760</v>
      </c>
      <c r="B511" s="1" t="s">
        <v>161</v>
      </c>
      <c r="C511" s="10">
        <v>46036.409126567902</v>
      </c>
      <c r="D511" s="1" t="s">
        <v>7</v>
      </c>
      <c r="E511" s="1">
        <v>40.44</v>
      </c>
    </row>
    <row r="512" spans="1:5">
      <c r="A512" s="1" t="s">
        <v>761</v>
      </c>
      <c r="B512" s="1" t="s">
        <v>389</v>
      </c>
      <c r="C512" s="10">
        <v>46203.409126567902</v>
      </c>
      <c r="D512" s="1" t="s">
        <v>16</v>
      </c>
      <c r="E512" s="1">
        <v>11.63</v>
      </c>
    </row>
    <row r="513" spans="1:5">
      <c r="A513" s="1" t="s">
        <v>762</v>
      </c>
      <c r="B513" s="1" t="s">
        <v>26</v>
      </c>
      <c r="C513" s="10">
        <v>46258.409126567902</v>
      </c>
      <c r="D513" s="1" t="s">
        <v>13</v>
      </c>
      <c r="E513" s="1">
        <v>10.39</v>
      </c>
    </row>
    <row r="514" spans="1:5">
      <c r="A514" s="1" t="s">
        <v>763</v>
      </c>
      <c r="B514" s="1" t="s">
        <v>219</v>
      </c>
      <c r="C514" s="10">
        <v>46000.409126567902</v>
      </c>
      <c r="D514" s="1" t="s">
        <v>16</v>
      </c>
      <c r="E514" s="1">
        <v>10.57</v>
      </c>
    </row>
    <row r="515" spans="1:5">
      <c r="A515" s="1" t="s">
        <v>764</v>
      </c>
      <c r="B515" s="1" t="s">
        <v>429</v>
      </c>
      <c r="C515" s="10">
        <v>46103.409126567902</v>
      </c>
      <c r="D515" s="1" t="s">
        <v>13</v>
      </c>
      <c r="E515" s="1">
        <v>13.49</v>
      </c>
    </row>
    <row r="516" spans="1:5">
      <c r="A516" s="1" t="s">
        <v>765</v>
      </c>
      <c r="B516" s="1" t="s">
        <v>429</v>
      </c>
      <c r="C516" s="10">
        <v>46265.409126567902</v>
      </c>
      <c r="D516" s="1" t="s">
        <v>16</v>
      </c>
      <c r="E516" s="1">
        <v>11.79</v>
      </c>
    </row>
    <row r="517" spans="1:5">
      <c r="A517" s="1" t="s">
        <v>766</v>
      </c>
      <c r="B517" s="1" t="s">
        <v>767</v>
      </c>
      <c r="C517" s="10">
        <v>45978.409126567902</v>
      </c>
      <c r="D517" s="1" t="s">
        <v>7</v>
      </c>
      <c r="E517" s="1">
        <v>37.4</v>
      </c>
    </row>
    <row r="518" spans="1:5">
      <c r="A518" s="1" t="s">
        <v>768</v>
      </c>
      <c r="B518" s="1" t="s">
        <v>633</v>
      </c>
      <c r="C518" s="10">
        <v>45979.409126567902</v>
      </c>
      <c r="D518" s="1" t="s">
        <v>13</v>
      </c>
      <c r="E518" s="1">
        <v>13.08</v>
      </c>
    </row>
    <row r="519" spans="1:5">
      <c r="A519" s="1" t="s">
        <v>769</v>
      </c>
      <c r="B519" s="1" t="s">
        <v>770</v>
      </c>
      <c r="C519" s="10">
        <v>46220.409126567902</v>
      </c>
      <c r="D519" s="1" t="s">
        <v>13</v>
      </c>
      <c r="E519" s="1">
        <v>12.19</v>
      </c>
    </row>
    <row r="520" spans="1:5">
      <c r="A520" s="1" t="s">
        <v>771</v>
      </c>
      <c r="B520" s="1" t="s">
        <v>502</v>
      </c>
      <c r="C520" s="10">
        <v>45947.409126567902</v>
      </c>
      <c r="D520" s="1" t="s">
        <v>50</v>
      </c>
      <c r="E520" s="1">
        <v>4.12</v>
      </c>
    </row>
    <row r="521" spans="1:5">
      <c r="A521" s="1" t="s">
        <v>772</v>
      </c>
      <c r="B521" s="1" t="s">
        <v>628</v>
      </c>
      <c r="C521" s="10">
        <v>46030.409126567902</v>
      </c>
      <c r="D521" s="1" t="s">
        <v>50</v>
      </c>
      <c r="E521" s="1">
        <v>5.38</v>
      </c>
    </row>
    <row r="522" spans="1:5">
      <c r="A522" s="1" t="s">
        <v>773</v>
      </c>
      <c r="B522" s="1" t="s">
        <v>774</v>
      </c>
      <c r="C522" s="10">
        <v>46237.409126567902</v>
      </c>
      <c r="D522" s="1" t="s">
        <v>10</v>
      </c>
      <c r="E522" s="1">
        <v>16.14</v>
      </c>
    </row>
    <row r="523" spans="1:5">
      <c r="A523" s="1" t="s">
        <v>775</v>
      </c>
      <c r="B523" s="1" t="s">
        <v>776</v>
      </c>
      <c r="C523" s="10">
        <v>46188.409126567902</v>
      </c>
      <c r="D523" s="1" t="s">
        <v>16</v>
      </c>
      <c r="E523" s="1">
        <v>11.72</v>
      </c>
    </row>
    <row r="524" spans="1:5">
      <c r="A524" s="1" t="s">
        <v>777</v>
      </c>
      <c r="B524" s="1" t="s">
        <v>396</v>
      </c>
      <c r="C524" s="10">
        <v>46177.409126567902</v>
      </c>
      <c r="D524" s="1" t="s">
        <v>50</v>
      </c>
      <c r="E524" s="1">
        <v>4.99</v>
      </c>
    </row>
    <row r="525" spans="1:5">
      <c r="A525" s="1" t="s">
        <v>778</v>
      </c>
      <c r="B525" s="1" t="s">
        <v>380</v>
      </c>
      <c r="C525" s="10">
        <v>45970.409126567902</v>
      </c>
      <c r="D525" s="1" t="s">
        <v>10</v>
      </c>
      <c r="E525" s="1">
        <v>13.38</v>
      </c>
    </row>
    <row r="526" spans="1:5">
      <c r="A526" s="1" t="s">
        <v>779</v>
      </c>
      <c r="B526" s="1" t="s">
        <v>211</v>
      </c>
      <c r="C526" s="10">
        <v>46150.409126567902</v>
      </c>
      <c r="D526" s="1" t="s">
        <v>50</v>
      </c>
      <c r="E526" s="1">
        <v>4.09</v>
      </c>
    </row>
    <row r="527" spans="1:5">
      <c r="A527" s="1" t="s">
        <v>780</v>
      </c>
      <c r="B527" s="1" t="s">
        <v>452</v>
      </c>
      <c r="C527" s="10">
        <v>46272.409126567902</v>
      </c>
      <c r="D527" s="1" t="s">
        <v>16</v>
      </c>
      <c r="E527" s="1">
        <v>9.66</v>
      </c>
    </row>
    <row r="528" spans="1:5">
      <c r="A528" s="1" t="s">
        <v>781</v>
      </c>
      <c r="B528" s="1" t="s">
        <v>770</v>
      </c>
      <c r="C528" s="10">
        <v>46025.409126567902</v>
      </c>
      <c r="D528" s="1" t="s">
        <v>13</v>
      </c>
      <c r="E528" s="1">
        <v>11.05</v>
      </c>
    </row>
    <row r="529" spans="1:5">
      <c r="A529" s="1" t="s">
        <v>782</v>
      </c>
      <c r="B529" s="1" t="s">
        <v>357</v>
      </c>
      <c r="C529" s="10">
        <v>46199.409126567902</v>
      </c>
      <c r="D529" s="1" t="s">
        <v>29</v>
      </c>
      <c r="E529" s="1">
        <v>27.61</v>
      </c>
    </row>
    <row r="530" spans="1:5">
      <c r="A530" s="1" t="s">
        <v>783</v>
      </c>
      <c r="B530" s="1" t="s">
        <v>784</v>
      </c>
      <c r="C530" s="10">
        <v>46028.409126567902</v>
      </c>
      <c r="D530" s="1" t="s">
        <v>16</v>
      </c>
      <c r="E530" s="1">
        <v>9.42</v>
      </c>
    </row>
    <row r="531" spans="1:5">
      <c r="A531" s="1" t="s">
        <v>785</v>
      </c>
      <c r="B531" s="1" t="s">
        <v>104</v>
      </c>
      <c r="C531" s="10">
        <v>46025.409126567902</v>
      </c>
      <c r="D531" s="1" t="s">
        <v>7</v>
      </c>
      <c r="E531" s="1">
        <v>47.19</v>
      </c>
    </row>
    <row r="532" spans="1:5">
      <c r="A532" s="1" t="s">
        <v>786</v>
      </c>
      <c r="B532" s="1" t="s">
        <v>713</v>
      </c>
      <c r="C532" s="10">
        <v>46050.409126567902</v>
      </c>
      <c r="D532" s="1" t="s">
        <v>50</v>
      </c>
      <c r="E532" s="1">
        <v>5.92</v>
      </c>
    </row>
    <row r="533" spans="1:5">
      <c r="A533" s="1" t="s">
        <v>787</v>
      </c>
      <c r="B533" s="1" t="s">
        <v>309</v>
      </c>
      <c r="C533" s="10">
        <v>46040.409126567902</v>
      </c>
      <c r="D533" s="1" t="s">
        <v>50</v>
      </c>
      <c r="E533" s="1">
        <v>5.24</v>
      </c>
    </row>
    <row r="534" spans="1:5">
      <c r="A534" s="1" t="s">
        <v>788</v>
      </c>
      <c r="B534" s="1" t="s">
        <v>118</v>
      </c>
      <c r="C534" s="10">
        <v>46131.409126567902</v>
      </c>
      <c r="D534" s="1" t="s">
        <v>13</v>
      </c>
      <c r="E534" s="1">
        <v>14.06</v>
      </c>
    </row>
    <row r="535" spans="1:5">
      <c r="A535" s="1" t="s">
        <v>789</v>
      </c>
      <c r="B535" s="1" t="s">
        <v>398</v>
      </c>
      <c r="C535" s="10">
        <v>46249.409126567902</v>
      </c>
      <c r="D535" s="1" t="s">
        <v>7</v>
      </c>
      <c r="E535" s="1">
        <v>44.17</v>
      </c>
    </row>
    <row r="536" spans="1:5">
      <c r="A536" s="1" t="s">
        <v>790</v>
      </c>
      <c r="B536" s="1" t="s">
        <v>791</v>
      </c>
      <c r="C536" s="10">
        <v>46049.409126567902</v>
      </c>
      <c r="D536" s="1" t="s">
        <v>13</v>
      </c>
      <c r="E536" s="1">
        <v>12.22</v>
      </c>
    </row>
    <row r="537" spans="1:5">
      <c r="A537" s="1" t="s">
        <v>792</v>
      </c>
      <c r="B537" s="1" t="s">
        <v>793</v>
      </c>
      <c r="C537" s="10">
        <v>46010.409126567902</v>
      </c>
      <c r="D537" s="1" t="s">
        <v>7</v>
      </c>
      <c r="E537" s="1">
        <v>34.880000000000003</v>
      </c>
    </row>
    <row r="538" spans="1:5">
      <c r="A538" s="1" t="s">
        <v>794</v>
      </c>
      <c r="B538" s="1" t="s">
        <v>795</v>
      </c>
      <c r="C538" s="10">
        <v>46152.409126567902</v>
      </c>
      <c r="D538" s="1" t="s">
        <v>29</v>
      </c>
      <c r="E538" s="1">
        <v>24.59</v>
      </c>
    </row>
    <row r="539" spans="1:5">
      <c r="A539" s="1" t="s">
        <v>796</v>
      </c>
      <c r="B539" s="1" t="s">
        <v>560</v>
      </c>
      <c r="C539" s="10">
        <v>46212.409126567902</v>
      </c>
      <c r="D539" s="1" t="s">
        <v>50</v>
      </c>
      <c r="E539" s="1">
        <v>5.12</v>
      </c>
    </row>
    <row r="540" spans="1:5">
      <c r="A540" s="1" t="s">
        <v>797</v>
      </c>
      <c r="B540" s="1" t="s">
        <v>92</v>
      </c>
      <c r="C540" s="10">
        <v>46184.409126567902</v>
      </c>
      <c r="D540" s="1" t="s">
        <v>50</v>
      </c>
      <c r="E540" s="1">
        <v>5.73</v>
      </c>
    </row>
    <row r="541" spans="1:5">
      <c r="A541" s="1" t="s">
        <v>798</v>
      </c>
      <c r="B541" s="1" t="s">
        <v>300</v>
      </c>
      <c r="C541" s="10">
        <v>46099.409126567902</v>
      </c>
      <c r="D541" s="1" t="s">
        <v>29</v>
      </c>
      <c r="E541" s="1">
        <v>24.81</v>
      </c>
    </row>
    <row r="542" spans="1:5">
      <c r="A542" s="1" t="s">
        <v>799</v>
      </c>
      <c r="B542" s="1" t="s">
        <v>24</v>
      </c>
      <c r="C542" s="10">
        <v>46292.409126567902</v>
      </c>
      <c r="D542" s="1" t="s">
        <v>10</v>
      </c>
      <c r="E542" s="1">
        <v>17.39</v>
      </c>
    </row>
    <row r="543" spans="1:5">
      <c r="A543" s="1" t="s">
        <v>800</v>
      </c>
      <c r="B543" s="1" t="s">
        <v>495</v>
      </c>
      <c r="C543" s="10">
        <v>46127.409126567902</v>
      </c>
      <c r="D543" s="1" t="s">
        <v>13</v>
      </c>
      <c r="E543" s="1">
        <v>12.84</v>
      </c>
    </row>
    <row r="544" spans="1:5">
      <c r="A544" s="1" t="s">
        <v>801</v>
      </c>
      <c r="B544" s="1" t="s">
        <v>776</v>
      </c>
      <c r="C544" s="10">
        <v>46162.409126567902</v>
      </c>
      <c r="D544" s="1" t="s">
        <v>29</v>
      </c>
      <c r="E544" s="1">
        <v>21.37</v>
      </c>
    </row>
    <row r="545" spans="1:5">
      <c r="A545" s="1" t="s">
        <v>802</v>
      </c>
      <c r="B545" s="1" t="s">
        <v>325</v>
      </c>
      <c r="C545" s="10">
        <v>46112.409126567902</v>
      </c>
      <c r="D545" s="1" t="s">
        <v>13</v>
      </c>
      <c r="E545" s="1">
        <v>14.38</v>
      </c>
    </row>
    <row r="546" spans="1:5">
      <c r="A546" s="1" t="s">
        <v>803</v>
      </c>
      <c r="B546" s="1" t="s">
        <v>804</v>
      </c>
      <c r="C546" s="10">
        <v>46034.409126567902</v>
      </c>
      <c r="D546" s="1" t="s">
        <v>16</v>
      </c>
      <c r="E546" s="1">
        <v>10.11</v>
      </c>
    </row>
    <row r="547" spans="1:5">
      <c r="A547" s="1" t="s">
        <v>805</v>
      </c>
      <c r="B547" s="1" t="s">
        <v>264</v>
      </c>
      <c r="C547" s="10">
        <v>45971.409126567902</v>
      </c>
      <c r="D547" s="1" t="s">
        <v>50</v>
      </c>
      <c r="E547" s="1">
        <v>4.78</v>
      </c>
    </row>
    <row r="548" spans="1:5">
      <c r="A548" s="1" t="s">
        <v>806</v>
      </c>
      <c r="B548" s="1" t="s">
        <v>378</v>
      </c>
      <c r="C548" s="10">
        <v>46031.409126567902</v>
      </c>
      <c r="D548" s="1" t="s">
        <v>13</v>
      </c>
      <c r="E548" s="1">
        <v>12.76</v>
      </c>
    </row>
    <row r="549" spans="1:5">
      <c r="A549" s="1" t="s">
        <v>807</v>
      </c>
      <c r="B549" s="1" t="s">
        <v>396</v>
      </c>
      <c r="C549" s="10">
        <v>46087.409126567902</v>
      </c>
      <c r="D549" s="1" t="s">
        <v>7</v>
      </c>
      <c r="E549" s="1">
        <v>33.74</v>
      </c>
    </row>
    <row r="550" spans="1:5">
      <c r="A550" s="1" t="s">
        <v>808</v>
      </c>
      <c r="B550" s="1" t="s">
        <v>809</v>
      </c>
      <c r="C550" s="10">
        <v>46086.409126567902</v>
      </c>
      <c r="D550" s="1" t="s">
        <v>13</v>
      </c>
      <c r="E550" s="1">
        <v>12.66</v>
      </c>
    </row>
    <row r="551" spans="1:5">
      <c r="A551" s="1" t="s">
        <v>810</v>
      </c>
      <c r="B551" s="1" t="s">
        <v>811</v>
      </c>
      <c r="C551" s="10">
        <v>46125.409126567902</v>
      </c>
      <c r="D551" s="1" t="s">
        <v>16</v>
      </c>
      <c r="E551" s="1">
        <v>9.99</v>
      </c>
    </row>
    <row r="552" spans="1:5">
      <c r="A552" s="1" t="s">
        <v>812</v>
      </c>
      <c r="B552" s="1" t="s">
        <v>804</v>
      </c>
      <c r="C552" s="10">
        <v>46159.409126567902</v>
      </c>
      <c r="D552" s="1" t="s">
        <v>50</v>
      </c>
      <c r="E552" s="1">
        <v>4.8099999999999996</v>
      </c>
    </row>
    <row r="553" spans="1:5">
      <c r="A553" s="1" t="s">
        <v>813</v>
      </c>
      <c r="B553" s="1" t="s">
        <v>300</v>
      </c>
      <c r="C553" s="10">
        <v>45972.409126567902</v>
      </c>
      <c r="D553" s="1" t="s">
        <v>29</v>
      </c>
      <c r="E553" s="1">
        <v>29.53</v>
      </c>
    </row>
    <row r="554" spans="1:5">
      <c r="A554" s="1" t="s">
        <v>814</v>
      </c>
      <c r="B554" s="1" t="s">
        <v>60</v>
      </c>
      <c r="C554" s="10">
        <v>46203.409126567902</v>
      </c>
      <c r="D554" s="1" t="s">
        <v>16</v>
      </c>
      <c r="E554" s="1">
        <v>10.09</v>
      </c>
    </row>
    <row r="555" spans="1:5">
      <c r="A555" s="1" t="s">
        <v>815</v>
      </c>
      <c r="B555" s="1" t="s">
        <v>329</v>
      </c>
      <c r="C555" s="10">
        <v>46118.409126567902</v>
      </c>
      <c r="D555" s="1" t="s">
        <v>50</v>
      </c>
      <c r="E555" s="1">
        <v>4.4400000000000004</v>
      </c>
    </row>
    <row r="556" spans="1:5">
      <c r="A556" s="1" t="s">
        <v>816</v>
      </c>
      <c r="B556" s="1" t="s">
        <v>742</v>
      </c>
      <c r="C556" s="10">
        <v>45948.409126567902</v>
      </c>
      <c r="D556" s="1" t="s">
        <v>13</v>
      </c>
      <c r="E556" s="1">
        <v>11.8</v>
      </c>
    </row>
    <row r="557" spans="1:5">
      <c r="A557" s="1" t="s">
        <v>817</v>
      </c>
      <c r="B557" s="1" t="s">
        <v>450</v>
      </c>
      <c r="C557" s="10">
        <v>46214.409126567902</v>
      </c>
      <c r="D557" s="1" t="s">
        <v>10</v>
      </c>
      <c r="E557" s="1">
        <v>17.52</v>
      </c>
    </row>
    <row r="558" spans="1:5">
      <c r="A558" s="1" t="s">
        <v>818</v>
      </c>
      <c r="B558" s="1" t="s">
        <v>145</v>
      </c>
      <c r="C558" s="10">
        <v>46152.409126567902</v>
      </c>
      <c r="D558" s="1" t="s">
        <v>10</v>
      </c>
      <c r="E558" s="1">
        <v>13.06</v>
      </c>
    </row>
    <row r="559" spans="1:5">
      <c r="A559" s="1" t="s">
        <v>819</v>
      </c>
      <c r="B559" s="1" t="s">
        <v>820</v>
      </c>
      <c r="C559" s="10">
        <v>46290.409126567902</v>
      </c>
      <c r="D559" s="1" t="s">
        <v>7</v>
      </c>
      <c r="E559" s="1">
        <v>35.42</v>
      </c>
    </row>
    <row r="560" spans="1:5">
      <c r="A560" s="1" t="s">
        <v>821</v>
      </c>
      <c r="B560" s="1" t="s">
        <v>483</v>
      </c>
      <c r="C560" s="10">
        <v>46296.409126567902</v>
      </c>
      <c r="D560" s="1" t="s">
        <v>50</v>
      </c>
      <c r="E560" s="1">
        <v>4.03</v>
      </c>
    </row>
    <row r="561" spans="1:5">
      <c r="A561" s="1" t="s">
        <v>822</v>
      </c>
      <c r="B561" s="1" t="s">
        <v>823</v>
      </c>
      <c r="C561" s="10">
        <v>46221.409126567902</v>
      </c>
      <c r="D561" s="1" t="s">
        <v>10</v>
      </c>
      <c r="E561" s="1">
        <v>12.09</v>
      </c>
    </row>
    <row r="562" spans="1:5">
      <c r="A562" s="1" t="s">
        <v>824</v>
      </c>
      <c r="B562" s="1" t="s">
        <v>264</v>
      </c>
      <c r="C562" s="10">
        <v>46208.409126567902</v>
      </c>
      <c r="D562" s="1" t="s">
        <v>29</v>
      </c>
      <c r="E562" s="1">
        <v>28.29</v>
      </c>
    </row>
    <row r="563" spans="1:5">
      <c r="A563" s="1" t="s">
        <v>825</v>
      </c>
      <c r="B563" s="1" t="s">
        <v>560</v>
      </c>
      <c r="C563" s="10">
        <v>45997.409126567902</v>
      </c>
      <c r="D563" s="1" t="s">
        <v>50</v>
      </c>
      <c r="E563" s="1">
        <v>5.46</v>
      </c>
    </row>
    <row r="564" spans="1:5">
      <c r="A564" s="1" t="s">
        <v>826</v>
      </c>
      <c r="B564" s="1" t="s">
        <v>500</v>
      </c>
      <c r="C564" s="10">
        <v>46019.409126567902</v>
      </c>
      <c r="D564" s="1" t="s">
        <v>29</v>
      </c>
      <c r="E564" s="1">
        <v>23.55</v>
      </c>
    </row>
    <row r="565" spans="1:5">
      <c r="A565" s="1" t="s">
        <v>827</v>
      </c>
      <c r="B565" s="1" t="s">
        <v>828</v>
      </c>
      <c r="C565" s="10">
        <v>46152.409126567902</v>
      </c>
      <c r="D565" s="1" t="s">
        <v>29</v>
      </c>
      <c r="E565" s="1">
        <v>26.98</v>
      </c>
    </row>
    <row r="566" spans="1:5">
      <c r="A566" s="1" t="s">
        <v>829</v>
      </c>
      <c r="B566" s="1" t="s">
        <v>374</v>
      </c>
      <c r="C566" s="10">
        <v>46277.409126567902</v>
      </c>
      <c r="D566" s="1" t="s">
        <v>10</v>
      </c>
      <c r="E566" s="1">
        <v>14.37</v>
      </c>
    </row>
    <row r="567" spans="1:5">
      <c r="A567" s="1" t="s">
        <v>830</v>
      </c>
      <c r="B567" s="1" t="s">
        <v>205</v>
      </c>
      <c r="C567" s="10">
        <v>46122.409126567902</v>
      </c>
      <c r="D567" s="1" t="s">
        <v>50</v>
      </c>
      <c r="E567" s="1">
        <v>5.91</v>
      </c>
    </row>
    <row r="568" spans="1:5">
      <c r="A568" s="1" t="s">
        <v>831</v>
      </c>
      <c r="B568" s="1" t="s">
        <v>66</v>
      </c>
      <c r="C568" s="10">
        <v>45954.409126567902</v>
      </c>
      <c r="D568" s="1" t="s">
        <v>13</v>
      </c>
      <c r="E568" s="1">
        <v>14.24</v>
      </c>
    </row>
    <row r="569" spans="1:5">
      <c r="A569" s="1" t="s">
        <v>832</v>
      </c>
      <c r="B569" s="1" t="s">
        <v>823</v>
      </c>
      <c r="C569" s="10">
        <v>46112.409126567902</v>
      </c>
      <c r="D569" s="1" t="s">
        <v>16</v>
      </c>
      <c r="E569" s="1">
        <v>9.57</v>
      </c>
    </row>
    <row r="570" spans="1:5">
      <c r="A570" s="1" t="s">
        <v>833</v>
      </c>
      <c r="B570" s="1" t="s">
        <v>321</v>
      </c>
      <c r="C570" s="10">
        <v>46035.409126567902</v>
      </c>
      <c r="D570" s="1" t="s">
        <v>10</v>
      </c>
      <c r="E570" s="1">
        <v>17.13</v>
      </c>
    </row>
    <row r="571" spans="1:5">
      <c r="A571" s="1" t="s">
        <v>834</v>
      </c>
      <c r="B571" s="1" t="s">
        <v>281</v>
      </c>
      <c r="C571" s="10">
        <v>46168.409126567902</v>
      </c>
      <c r="D571" s="1" t="s">
        <v>10</v>
      </c>
      <c r="E571" s="1">
        <v>16.64</v>
      </c>
    </row>
    <row r="572" spans="1:5">
      <c r="A572" s="1" t="s">
        <v>835</v>
      </c>
      <c r="B572" s="1" t="s">
        <v>836</v>
      </c>
      <c r="C572" s="10">
        <v>46011.409126567902</v>
      </c>
      <c r="D572" s="1" t="s">
        <v>13</v>
      </c>
      <c r="E572" s="1">
        <v>11.09</v>
      </c>
    </row>
    <row r="573" spans="1:5">
      <c r="A573" s="1" t="s">
        <v>837</v>
      </c>
      <c r="B573" s="1" t="s">
        <v>511</v>
      </c>
      <c r="C573" s="10">
        <v>46200.409126567902</v>
      </c>
      <c r="D573" s="1" t="s">
        <v>50</v>
      </c>
      <c r="E573" s="1">
        <v>4.46</v>
      </c>
    </row>
    <row r="574" spans="1:5">
      <c r="A574" s="1" t="s">
        <v>838</v>
      </c>
      <c r="B574" s="1" t="s">
        <v>268</v>
      </c>
      <c r="C574" s="10">
        <v>46219.409126567902</v>
      </c>
      <c r="D574" s="1" t="s">
        <v>50</v>
      </c>
      <c r="E574" s="1">
        <v>4.92</v>
      </c>
    </row>
    <row r="575" spans="1:5">
      <c r="A575" s="1" t="s">
        <v>839</v>
      </c>
      <c r="B575" s="1" t="s">
        <v>519</v>
      </c>
      <c r="C575" s="10">
        <v>46141.409126567902</v>
      </c>
      <c r="D575" s="1" t="s">
        <v>29</v>
      </c>
      <c r="E575" s="1">
        <v>27.81</v>
      </c>
    </row>
    <row r="576" spans="1:5">
      <c r="A576" s="1" t="s">
        <v>840</v>
      </c>
      <c r="B576" s="1" t="s">
        <v>380</v>
      </c>
      <c r="C576" s="10">
        <v>46158.409126567902</v>
      </c>
      <c r="D576" s="1" t="s">
        <v>13</v>
      </c>
      <c r="E576" s="1">
        <v>14.21</v>
      </c>
    </row>
    <row r="577" spans="1:5">
      <c r="A577" s="1" t="s">
        <v>841</v>
      </c>
      <c r="B577" s="1" t="s">
        <v>225</v>
      </c>
      <c r="C577" s="10">
        <v>45987.409126567902</v>
      </c>
      <c r="D577" s="1" t="s">
        <v>13</v>
      </c>
      <c r="E577" s="1">
        <v>13.27</v>
      </c>
    </row>
    <row r="578" spans="1:5">
      <c r="A578" s="1" t="s">
        <v>842</v>
      </c>
      <c r="B578" s="1" t="s">
        <v>843</v>
      </c>
      <c r="C578" s="10">
        <v>46274.409126567902</v>
      </c>
      <c r="D578" s="1" t="s">
        <v>50</v>
      </c>
      <c r="E578" s="1">
        <v>5.71</v>
      </c>
    </row>
    <row r="579" spans="1:5">
      <c r="A579" s="1" t="s">
        <v>844</v>
      </c>
      <c r="B579" s="1" t="s">
        <v>122</v>
      </c>
      <c r="C579" s="10">
        <v>46079.409126567902</v>
      </c>
      <c r="D579" s="1" t="s">
        <v>29</v>
      </c>
      <c r="E579" s="1">
        <v>26.03</v>
      </c>
    </row>
    <row r="580" spans="1:5">
      <c r="A580" s="1" t="s">
        <v>845</v>
      </c>
      <c r="B580" s="1" t="s">
        <v>846</v>
      </c>
      <c r="C580" s="10">
        <v>46004.409126567902</v>
      </c>
      <c r="D580" s="1" t="s">
        <v>10</v>
      </c>
      <c r="E580" s="1">
        <v>17.010000000000002</v>
      </c>
    </row>
    <row r="581" spans="1:5">
      <c r="A581" s="1" t="s">
        <v>847</v>
      </c>
      <c r="B581" s="1" t="s">
        <v>848</v>
      </c>
      <c r="C581" s="10">
        <v>46034.409126567902</v>
      </c>
      <c r="D581" s="1" t="s">
        <v>7</v>
      </c>
      <c r="E581" s="1">
        <v>44.55</v>
      </c>
    </row>
    <row r="582" spans="1:5">
      <c r="A582" s="1" t="s">
        <v>849</v>
      </c>
      <c r="B582" s="1" t="s">
        <v>585</v>
      </c>
      <c r="C582" s="10">
        <v>45960.409126567902</v>
      </c>
      <c r="D582" s="1" t="s">
        <v>16</v>
      </c>
      <c r="E582" s="1">
        <v>9.51</v>
      </c>
    </row>
    <row r="583" spans="1:5">
      <c r="A583" s="1" t="s">
        <v>850</v>
      </c>
      <c r="B583" s="1" t="s">
        <v>418</v>
      </c>
      <c r="C583" s="10">
        <v>45988.409126567902</v>
      </c>
      <c r="D583" s="1" t="s">
        <v>10</v>
      </c>
      <c r="E583" s="1">
        <v>15.31</v>
      </c>
    </row>
    <row r="584" spans="1:5">
      <c r="A584" s="1" t="s">
        <v>851</v>
      </c>
      <c r="B584" s="1" t="s">
        <v>281</v>
      </c>
      <c r="C584" s="10">
        <v>46086.409126567902</v>
      </c>
      <c r="D584" s="1" t="s">
        <v>50</v>
      </c>
      <c r="E584" s="1">
        <v>5.61</v>
      </c>
    </row>
    <row r="585" spans="1:5">
      <c r="A585" s="1" t="s">
        <v>852</v>
      </c>
      <c r="B585" s="1" t="s">
        <v>454</v>
      </c>
      <c r="C585" s="10">
        <v>46079.409126567902</v>
      </c>
      <c r="D585" s="1" t="s">
        <v>16</v>
      </c>
      <c r="E585" s="1">
        <v>8.18</v>
      </c>
    </row>
    <row r="586" spans="1:5">
      <c r="A586" s="1" t="s">
        <v>853</v>
      </c>
      <c r="B586" s="1" t="s">
        <v>703</v>
      </c>
      <c r="C586" s="10">
        <v>45992.409126567902</v>
      </c>
      <c r="D586" s="1" t="s">
        <v>7</v>
      </c>
      <c r="E586" s="1">
        <v>44.93</v>
      </c>
    </row>
    <row r="587" spans="1:5">
      <c r="A587" s="1" t="s">
        <v>854</v>
      </c>
      <c r="B587" s="1" t="s">
        <v>118</v>
      </c>
      <c r="C587" s="10">
        <v>45974.409126567902</v>
      </c>
      <c r="D587" s="1" t="s">
        <v>7</v>
      </c>
      <c r="E587" s="1">
        <v>34.85</v>
      </c>
    </row>
    <row r="588" spans="1:5">
      <c r="A588" s="1" t="s">
        <v>855</v>
      </c>
      <c r="B588" s="1" t="s">
        <v>856</v>
      </c>
      <c r="C588" s="10">
        <v>46044.409126567902</v>
      </c>
      <c r="D588" s="1" t="s">
        <v>29</v>
      </c>
      <c r="E588" s="1">
        <v>25.15</v>
      </c>
    </row>
    <row r="589" spans="1:5">
      <c r="A589" s="1" t="s">
        <v>857</v>
      </c>
      <c r="B589" s="1" t="s">
        <v>281</v>
      </c>
      <c r="C589" s="10">
        <v>46116.409126567902</v>
      </c>
      <c r="D589" s="1" t="s">
        <v>16</v>
      </c>
      <c r="E589" s="1">
        <v>11.23</v>
      </c>
    </row>
    <row r="590" spans="1:5">
      <c r="A590" s="1" t="s">
        <v>858</v>
      </c>
      <c r="B590" s="1" t="s">
        <v>132</v>
      </c>
      <c r="C590" s="10">
        <v>45977.409126567902</v>
      </c>
      <c r="D590" s="1" t="s">
        <v>29</v>
      </c>
      <c r="E590" s="1">
        <v>22.54</v>
      </c>
    </row>
    <row r="591" spans="1:5">
      <c r="A591" s="1" t="s">
        <v>859</v>
      </c>
      <c r="B591" s="1" t="s">
        <v>260</v>
      </c>
      <c r="C591" s="10">
        <v>46121.409126567902</v>
      </c>
      <c r="D591" s="1" t="s">
        <v>10</v>
      </c>
      <c r="E591" s="1">
        <v>13.47</v>
      </c>
    </row>
    <row r="592" spans="1:5">
      <c r="A592" s="1" t="s">
        <v>860</v>
      </c>
      <c r="B592" s="1" t="s">
        <v>98</v>
      </c>
      <c r="C592" s="10">
        <v>46158.409126567902</v>
      </c>
      <c r="D592" s="1" t="s">
        <v>13</v>
      </c>
      <c r="E592" s="1">
        <v>11.53</v>
      </c>
    </row>
    <row r="593" spans="1:5">
      <c r="A593" s="1" t="s">
        <v>861</v>
      </c>
      <c r="B593" s="1" t="s">
        <v>28</v>
      </c>
      <c r="C593" s="10">
        <v>46057.409126567902</v>
      </c>
      <c r="D593" s="1" t="s">
        <v>13</v>
      </c>
      <c r="E593" s="1">
        <v>13.89</v>
      </c>
    </row>
    <row r="594" spans="1:5">
      <c r="A594" s="1" t="s">
        <v>862</v>
      </c>
      <c r="B594" s="1" t="s">
        <v>321</v>
      </c>
      <c r="C594" s="10">
        <v>46068.409126567902</v>
      </c>
      <c r="D594" s="1" t="s">
        <v>13</v>
      </c>
      <c r="E594" s="1">
        <v>9.6</v>
      </c>
    </row>
    <row r="595" spans="1:5">
      <c r="A595" s="1" t="s">
        <v>863</v>
      </c>
      <c r="B595" s="1" t="s">
        <v>31</v>
      </c>
      <c r="C595" s="10">
        <v>46098.409126567902</v>
      </c>
      <c r="D595" s="1" t="s">
        <v>16</v>
      </c>
      <c r="E595" s="1">
        <v>11.61</v>
      </c>
    </row>
    <row r="596" spans="1:5">
      <c r="A596" s="1" t="s">
        <v>864</v>
      </c>
      <c r="B596" s="1" t="s">
        <v>828</v>
      </c>
      <c r="C596" s="10">
        <v>46150.409126567902</v>
      </c>
      <c r="D596" s="1" t="s">
        <v>13</v>
      </c>
      <c r="E596" s="1">
        <v>10.34</v>
      </c>
    </row>
    <row r="597" spans="1:5">
      <c r="A597" s="1" t="s">
        <v>865</v>
      </c>
      <c r="B597" s="1" t="s">
        <v>479</v>
      </c>
      <c r="C597" s="10">
        <v>46156.409126567902</v>
      </c>
      <c r="D597" s="1" t="s">
        <v>10</v>
      </c>
      <c r="E597" s="1">
        <v>17.940000000000001</v>
      </c>
    </row>
    <row r="598" spans="1:5">
      <c r="A598" s="1" t="s">
        <v>866</v>
      </c>
      <c r="B598" s="1" t="s">
        <v>407</v>
      </c>
      <c r="C598" s="10">
        <v>46170.409126567902</v>
      </c>
      <c r="D598" s="1" t="s">
        <v>29</v>
      </c>
      <c r="E598" s="1">
        <v>29.55</v>
      </c>
    </row>
    <row r="599" spans="1:5">
      <c r="A599" s="1" t="s">
        <v>867</v>
      </c>
      <c r="B599" s="1" t="s">
        <v>47</v>
      </c>
      <c r="C599" s="10">
        <v>46266.409126567902</v>
      </c>
      <c r="D599" s="1" t="s">
        <v>16</v>
      </c>
      <c r="E599" s="1">
        <v>9.98</v>
      </c>
    </row>
    <row r="600" spans="1:5">
      <c r="A600" s="1" t="s">
        <v>868</v>
      </c>
      <c r="B600" s="1" t="s">
        <v>219</v>
      </c>
      <c r="C600" s="10">
        <v>46081.409126567902</v>
      </c>
      <c r="D600" s="1" t="s">
        <v>29</v>
      </c>
      <c r="E600" s="1">
        <v>25.13</v>
      </c>
    </row>
    <row r="601" spans="1:5">
      <c r="A601" s="1" t="s">
        <v>869</v>
      </c>
      <c r="B601" s="1" t="s">
        <v>870</v>
      </c>
      <c r="C601" s="10">
        <v>46174.409126567902</v>
      </c>
      <c r="D601" s="1" t="s">
        <v>16</v>
      </c>
      <c r="E601" s="1">
        <v>9.93</v>
      </c>
    </row>
    <row r="602" spans="1:5">
      <c r="A602" s="1" t="s">
        <v>871</v>
      </c>
      <c r="B602" s="1" t="s">
        <v>31</v>
      </c>
      <c r="C602" s="10">
        <v>46011.409126567902</v>
      </c>
      <c r="D602" s="1" t="s">
        <v>29</v>
      </c>
      <c r="E602" s="1">
        <v>26.35</v>
      </c>
    </row>
    <row r="603" spans="1:5">
      <c r="A603" s="1" t="s">
        <v>872</v>
      </c>
      <c r="B603" s="1" t="s">
        <v>694</v>
      </c>
      <c r="C603" s="10">
        <v>45944.409126567902</v>
      </c>
      <c r="D603" s="1" t="s">
        <v>7</v>
      </c>
      <c r="E603" s="1">
        <v>33.450000000000003</v>
      </c>
    </row>
    <row r="604" spans="1:5">
      <c r="A604" s="1" t="s">
        <v>873</v>
      </c>
      <c r="B604" s="1" t="s">
        <v>389</v>
      </c>
      <c r="C604" s="10">
        <v>46009.409126567902</v>
      </c>
      <c r="D604" s="1" t="s">
        <v>29</v>
      </c>
      <c r="E604" s="1">
        <v>20.329999999999998</v>
      </c>
    </row>
    <row r="605" spans="1:5">
      <c r="A605" s="1" t="s">
        <v>874</v>
      </c>
      <c r="B605" s="1" t="s">
        <v>233</v>
      </c>
      <c r="C605" s="10">
        <v>46188.409126567902</v>
      </c>
      <c r="D605" s="1" t="s">
        <v>13</v>
      </c>
      <c r="E605" s="1">
        <v>9.8800000000000008</v>
      </c>
    </row>
    <row r="606" spans="1:5">
      <c r="A606" s="1" t="s">
        <v>875</v>
      </c>
      <c r="B606" s="1" t="s">
        <v>848</v>
      </c>
      <c r="C606" s="10">
        <v>46165.409126567902</v>
      </c>
      <c r="D606" s="1" t="s">
        <v>7</v>
      </c>
      <c r="E606" s="1">
        <v>39.11</v>
      </c>
    </row>
    <row r="607" spans="1:5">
      <c r="A607" s="1" t="s">
        <v>876</v>
      </c>
      <c r="B607" s="1" t="s">
        <v>128</v>
      </c>
      <c r="C607" s="10">
        <v>45942.409126567902</v>
      </c>
      <c r="D607" s="1" t="s">
        <v>29</v>
      </c>
      <c r="E607" s="1">
        <v>22.76</v>
      </c>
    </row>
    <row r="608" spans="1:5">
      <c r="A608" s="1" t="s">
        <v>877</v>
      </c>
      <c r="B608" s="1" t="s">
        <v>342</v>
      </c>
      <c r="C608" s="10">
        <v>46109.409126567902</v>
      </c>
      <c r="D608" s="1" t="s">
        <v>16</v>
      </c>
      <c r="E608" s="1">
        <v>10.49</v>
      </c>
    </row>
    <row r="609" spans="1:5">
      <c r="A609" s="1" t="s">
        <v>878</v>
      </c>
      <c r="B609" s="1" t="s">
        <v>809</v>
      </c>
      <c r="C609" s="10">
        <v>46076.409126567902</v>
      </c>
      <c r="D609" s="1" t="s">
        <v>16</v>
      </c>
      <c r="E609" s="1">
        <v>11.97</v>
      </c>
    </row>
    <row r="610" spans="1:5">
      <c r="A610" s="1" t="s">
        <v>879</v>
      </c>
      <c r="B610" s="1" t="s">
        <v>444</v>
      </c>
      <c r="C610" s="10">
        <v>46103.409126567902</v>
      </c>
      <c r="D610" s="1" t="s">
        <v>16</v>
      </c>
      <c r="E610" s="1">
        <v>9.5500000000000007</v>
      </c>
    </row>
    <row r="611" spans="1:5">
      <c r="A611" s="1" t="s">
        <v>880</v>
      </c>
      <c r="B611" s="1" t="s">
        <v>422</v>
      </c>
      <c r="C611" s="10">
        <v>46105.409126567902</v>
      </c>
      <c r="D611" s="1" t="s">
        <v>50</v>
      </c>
      <c r="E611" s="1">
        <v>5.15</v>
      </c>
    </row>
    <row r="612" spans="1:5">
      <c r="A612" s="1" t="s">
        <v>881</v>
      </c>
      <c r="B612" s="1" t="s">
        <v>560</v>
      </c>
      <c r="C612" s="10">
        <v>46218.409126567902</v>
      </c>
      <c r="D612" s="1" t="s">
        <v>10</v>
      </c>
      <c r="E612" s="1">
        <v>14.49</v>
      </c>
    </row>
    <row r="613" spans="1:5">
      <c r="A613" s="1" t="s">
        <v>882</v>
      </c>
      <c r="B613" s="1" t="s">
        <v>636</v>
      </c>
      <c r="C613" s="10">
        <v>46057.409126567902</v>
      </c>
      <c r="D613" s="1" t="s">
        <v>16</v>
      </c>
      <c r="E613" s="1">
        <v>11.39</v>
      </c>
    </row>
    <row r="614" spans="1:5">
      <c r="A614" s="1" t="s">
        <v>883</v>
      </c>
      <c r="B614" s="1" t="s">
        <v>856</v>
      </c>
      <c r="C614" s="10">
        <v>46129.409126567902</v>
      </c>
      <c r="D614" s="1" t="s">
        <v>7</v>
      </c>
      <c r="E614" s="1">
        <v>46.44</v>
      </c>
    </row>
    <row r="615" spans="1:5">
      <c r="A615" s="1" t="s">
        <v>884</v>
      </c>
      <c r="B615" s="1" t="s">
        <v>885</v>
      </c>
      <c r="C615" s="10">
        <v>45940.409126567902</v>
      </c>
      <c r="D615" s="1" t="s">
        <v>16</v>
      </c>
      <c r="E615" s="1">
        <v>11.51</v>
      </c>
    </row>
    <row r="616" spans="1:5">
      <c r="A616" s="1" t="s">
        <v>886</v>
      </c>
      <c r="B616" s="1" t="s">
        <v>479</v>
      </c>
      <c r="C616" s="10">
        <v>45964.409126567902</v>
      </c>
      <c r="D616" s="1" t="s">
        <v>50</v>
      </c>
      <c r="E616" s="1">
        <v>5.95</v>
      </c>
    </row>
    <row r="617" spans="1:5">
      <c r="A617" s="1" t="s">
        <v>887</v>
      </c>
      <c r="B617" s="1" t="s">
        <v>682</v>
      </c>
      <c r="C617" s="10">
        <v>46100.409126567902</v>
      </c>
      <c r="D617" s="1" t="s">
        <v>13</v>
      </c>
      <c r="E617" s="1">
        <v>9.73</v>
      </c>
    </row>
    <row r="618" spans="1:5">
      <c r="A618" s="1" t="s">
        <v>888</v>
      </c>
      <c r="B618" s="1" t="s">
        <v>60</v>
      </c>
      <c r="C618" s="10">
        <v>46274.409126567902</v>
      </c>
      <c r="D618" s="1" t="s">
        <v>7</v>
      </c>
      <c r="E618" s="1">
        <v>45.44</v>
      </c>
    </row>
    <row r="619" spans="1:5">
      <c r="A619" s="1" t="s">
        <v>889</v>
      </c>
      <c r="B619" s="1" t="s">
        <v>112</v>
      </c>
      <c r="C619" s="10">
        <v>46071.409126567902</v>
      </c>
      <c r="D619" s="1" t="s">
        <v>50</v>
      </c>
      <c r="E619" s="1">
        <v>5.5</v>
      </c>
    </row>
    <row r="620" spans="1:5">
      <c r="A620" s="1" t="s">
        <v>890</v>
      </c>
      <c r="B620" s="1" t="s">
        <v>891</v>
      </c>
      <c r="C620" s="10">
        <v>46300.409126567902</v>
      </c>
      <c r="D620" s="1" t="s">
        <v>13</v>
      </c>
      <c r="E620" s="1">
        <v>10.7</v>
      </c>
    </row>
    <row r="621" spans="1:5">
      <c r="A621" s="1" t="s">
        <v>892</v>
      </c>
      <c r="B621" s="1" t="s">
        <v>349</v>
      </c>
      <c r="C621" s="10">
        <v>46256.409126567902</v>
      </c>
      <c r="D621" s="1" t="s">
        <v>7</v>
      </c>
      <c r="E621" s="1">
        <v>47.3</v>
      </c>
    </row>
    <row r="622" spans="1:5">
      <c r="A622" s="1" t="s">
        <v>893</v>
      </c>
      <c r="B622" s="1" t="s">
        <v>846</v>
      </c>
      <c r="C622" s="10">
        <v>46277.409126567902</v>
      </c>
      <c r="D622" s="1" t="s">
        <v>29</v>
      </c>
      <c r="E622" s="1">
        <v>21.48</v>
      </c>
    </row>
    <row r="623" spans="1:5">
      <c r="A623" s="1" t="s">
        <v>894</v>
      </c>
      <c r="B623" s="1" t="s">
        <v>479</v>
      </c>
      <c r="C623" s="10">
        <v>46080.409126567902</v>
      </c>
      <c r="D623" s="1" t="s">
        <v>10</v>
      </c>
      <c r="E623" s="1">
        <v>16.079999999999998</v>
      </c>
    </row>
    <row r="624" spans="1:5">
      <c r="A624" s="1" t="s">
        <v>895</v>
      </c>
      <c r="B624" s="1" t="s">
        <v>896</v>
      </c>
      <c r="C624" s="10">
        <v>46262.409126567902</v>
      </c>
      <c r="D624" s="1" t="s">
        <v>10</v>
      </c>
      <c r="E624" s="1">
        <v>13.35</v>
      </c>
    </row>
    <row r="625" spans="1:5">
      <c r="A625" s="1" t="s">
        <v>897</v>
      </c>
      <c r="B625" s="1" t="s">
        <v>898</v>
      </c>
      <c r="C625" s="10">
        <v>46152.409126567902</v>
      </c>
      <c r="D625" s="1" t="s">
        <v>50</v>
      </c>
      <c r="E625" s="1">
        <v>4.8600000000000003</v>
      </c>
    </row>
    <row r="626" spans="1:5">
      <c r="A626" s="1" t="s">
        <v>899</v>
      </c>
      <c r="B626" s="1" t="s">
        <v>592</v>
      </c>
      <c r="C626" s="10">
        <v>46236.409126567902</v>
      </c>
      <c r="D626" s="1" t="s">
        <v>13</v>
      </c>
      <c r="E626" s="1">
        <v>13.05</v>
      </c>
    </row>
    <row r="627" spans="1:5">
      <c r="A627" s="1" t="s">
        <v>900</v>
      </c>
      <c r="B627" s="1" t="s">
        <v>502</v>
      </c>
      <c r="C627" s="10">
        <v>46067.409126567902</v>
      </c>
      <c r="D627" s="1" t="s">
        <v>10</v>
      </c>
      <c r="E627" s="1">
        <v>15.38</v>
      </c>
    </row>
    <row r="628" spans="1:5">
      <c r="A628" s="1" t="s">
        <v>901</v>
      </c>
      <c r="B628" s="1" t="s">
        <v>902</v>
      </c>
      <c r="C628" s="10">
        <v>46227.409126567902</v>
      </c>
      <c r="D628" s="1" t="s">
        <v>13</v>
      </c>
      <c r="E628" s="1">
        <v>11.65</v>
      </c>
    </row>
    <row r="629" spans="1:5">
      <c r="A629" s="1" t="s">
        <v>903</v>
      </c>
      <c r="B629" s="1" t="s">
        <v>495</v>
      </c>
      <c r="C629" s="10">
        <v>46005.409126567902</v>
      </c>
      <c r="D629" s="1" t="s">
        <v>13</v>
      </c>
      <c r="E629" s="1">
        <v>11.17</v>
      </c>
    </row>
    <row r="630" spans="1:5">
      <c r="A630" s="1" t="s">
        <v>904</v>
      </c>
      <c r="B630" s="1" t="s">
        <v>128</v>
      </c>
      <c r="C630" s="10">
        <v>46187.409126567902</v>
      </c>
      <c r="D630" s="1" t="s">
        <v>50</v>
      </c>
      <c r="E630" s="1">
        <v>5.68</v>
      </c>
    </row>
    <row r="631" spans="1:5">
      <c r="A631" s="1" t="s">
        <v>905</v>
      </c>
      <c r="B631" s="1" t="s">
        <v>110</v>
      </c>
      <c r="C631" s="10">
        <v>46210.409126567902</v>
      </c>
      <c r="D631" s="1" t="s">
        <v>50</v>
      </c>
      <c r="E631" s="1">
        <v>4.29</v>
      </c>
    </row>
    <row r="632" spans="1:5">
      <c r="A632" s="1" t="s">
        <v>906</v>
      </c>
      <c r="B632" s="1" t="s">
        <v>329</v>
      </c>
      <c r="C632" s="10">
        <v>46299.409126567902</v>
      </c>
      <c r="D632" s="1" t="s">
        <v>50</v>
      </c>
      <c r="E632" s="1">
        <v>4.8600000000000003</v>
      </c>
    </row>
    <row r="633" spans="1:5">
      <c r="A633" s="1" t="s">
        <v>907</v>
      </c>
      <c r="B633" s="1" t="s">
        <v>793</v>
      </c>
      <c r="C633" s="10">
        <v>46117.409126567902</v>
      </c>
      <c r="D633" s="1" t="s">
        <v>10</v>
      </c>
      <c r="E633" s="1">
        <v>17.420000000000002</v>
      </c>
    </row>
    <row r="634" spans="1:5">
      <c r="A634" s="1" t="s">
        <v>908</v>
      </c>
      <c r="B634" s="1" t="s">
        <v>35</v>
      </c>
      <c r="C634" s="10">
        <v>46102.409126567902</v>
      </c>
      <c r="D634" s="1" t="s">
        <v>50</v>
      </c>
      <c r="E634" s="1">
        <v>5.69</v>
      </c>
    </row>
    <row r="635" spans="1:5">
      <c r="A635" s="1" t="s">
        <v>909</v>
      </c>
      <c r="B635" s="1" t="s">
        <v>47</v>
      </c>
      <c r="C635" s="10">
        <v>46026.409126567902</v>
      </c>
      <c r="D635" s="1" t="s">
        <v>10</v>
      </c>
      <c r="E635" s="1">
        <v>14.41</v>
      </c>
    </row>
    <row r="636" spans="1:5">
      <c r="A636" s="1" t="s">
        <v>910</v>
      </c>
      <c r="B636" s="1" t="s">
        <v>159</v>
      </c>
      <c r="C636" s="10">
        <v>46137.409126567902</v>
      </c>
      <c r="D636" s="1" t="s">
        <v>50</v>
      </c>
      <c r="E636" s="1">
        <v>5.53</v>
      </c>
    </row>
    <row r="637" spans="1:5">
      <c r="A637" s="1" t="s">
        <v>911</v>
      </c>
      <c r="B637" s="1" t="s">
        <v>439</v>
      </c>
      <c r="C637" s="10">
        <v>46281.409126567902</v>
      </c>
      <c r="D637" s="1" t="s">
        <v>16</v>
      </c>
      <c r="E637" s="1">
        <v>11.29</v>
      </c>
    </row>
    <row r="638" spans="1:5">
      <c r="A638" s="1" t="s">
        <v>912</v>
      </c>
      <c r="B638" s="1" t="s">
        <v>331</v>
      </c>
      <c r="C638" s="10">
        <v>45954.409126567902</v>
      </c>
      <c r="D638" s="1" t="s">
        <v>13</v>
      </c>
      <c r="E638" s="1">
        <v>13.87</v>
      </c>
    </row>
    <row r="639" spans="1:5">
      <c r="A639" s="1" t="s">
        <v>913</v>
      </c>
      <c r="B639" s="1" t="s">
        <v>230</v>
      </c>
      <c r="C639" s="10">
        <v>45974.409126567902</v>
      </c>
      <c r="D639" s="1" t="s">
        <v>50</v>
      </c>
      <c r="E639" s="1">
        <v>5.09</v>
      </c>
    </row>
    <row r="640" spans="1:5">
      <c r="A640" s="1" t="s">
        <v>914</v>
      </c>
      <c r="B640" s="1" t="s">
        <v>248</v>
      </c>
      <c r="C640" s="10">
        <v>46061.409126567902</v>
      </c>
      <c r="D640" s="1" t="s">
        <v>7</v>
      </c>
      <c r="E640" s="1">
        <v>35.270000000000003</v>
      </c>
    </row>
    <row r="641" spans="1:5">
      <c r="A641" s="1" t="s">
        <v>915</v>
      </c>
      <c r="B641" s="1" t="s">
        <v>682</v>
      </c>
      <c r="C641" s="10">
        <v>46108.409126567902</v>
      </c>
      <c r="D641" s="1" t="s">
        <v>13</v>
      </c>
      <c r="E641" s="1">
        <v>10.83</v>
      </c>
    </row>
    <row r="642" spans="1:5">
      <c r="A642" s="1" t="s">
        <v>916</v>
      </c>
      <c r="B642" s="1" t="s">
        <v>497</v>
      </c>
      <c r="C642" s="10">
        <v>46076.409126567902</v>
      </c>
      <c r="D642" s="1" t="s">
        <v>13</v>
      </c>
      <c r="E642" s="1">
        <v>11.02</v>
      </c>
    </row>
    <row r="643" spans="1:5">
      <c r="A643" s="1" t="s">
        <v>917</v>
      </c>
      <c r="B643" s="1" t="s">
        <v>918</v>
      </c>
      <c r="C643" s="10">
        <v>46177.409126567902</v>
      </c>
      <c r="D643" s="1" t="s">
        <v>50</v>
      </c>
      <c r="E643" s="1">
        <v>5.19</v>
      </c>
    </row>
    <row r="644" spans="1:5">
      <c r="A644" s="1" t="s">
        <v>919</v>
      </c>
      <c r="B644" s="1" t="s">
        <v>434</v>
      </c>
      <c r="C644" s="10">
        <v>46155.409126567902</v>
      </c>
      <c r="D644" s="1" t="s">
        <v>29</v>
      </c>
      <c r="E644" s="1">
        <v>20.329999999999998</v>
      </c>
    </row>
    <row r="645" spans="1:5">
      <c r="A645" s="1" t="s">
        <v>920</v>
      </c>
      <c r="B645" s="1" t="s">
        <v>682</v>
      </c>
      <c r="C645" s="10">
        <v>46061.409126567902</v>
      </c>
      <c r="D645" s="1" t="s">
        <v>50</v>
      </c>
      <c r="E645" s="1">
        <v>5.27</v>
      </c>
    </row>
    <row r="646" spans="1:5">
      <c r="A646" s="1" t="s">
        <v>921</v>
      </c>
      <c r="B646" s="1" t="s">
        <v>922</v>
      </c>
      <c r="C646" s="10">
        <v>45993.409126567902</v>
      </c>
      <c r="D646" s="1" t="s">
        <v>13</v>
      </c>
      <c r="E646" s="1">
        <v>11.35</v>
      </c>
    </row>
    <row r="647" spans="1:5">
      <c r="A647" s="1" t="s">
        <v>923</v>
      </c>
      <c r="B647" s="1" t="s">
        <v>636</v>
      </c>
      <c r="C647" s="10">
        <v>46083.409126567902</v>
      </c>
      <c r="D647" s="1" t="s">
        <v>7</v>
      </c>
      <c r="E647" s="1">
        <v>36.72</v>
      </c>
    </row>
    <row r="648" spans="1:5">
      <c r="A648" s="1" t="s">
        <v>924</v>
      </c>
      <c r="B648" s="1" t="s">
        <v>43</v>
      </c>
      <c r="C648" s="10">
        <v>46252.409126567902</v>
      </c>
      <c r="D648" s="1" t="s">
        <v>13</v>
      </c>
      <c r="E648" s="1">
        <v>13.82</v>
      </c>
    </row>
    <row r="649" spans="1:5">
      <c r="A649" s="1" t="s">
        <v>925</v>
      </c>
      <c r="B649" s="1" t="s">
        <v>331</v>
      </c>
      <c r="C649" s="10">
        <v>46296.409126567902</v>
      </c>
      <c r="D649" s="1" t="s">
        <v>7</v>
      </c>
      <c r="E649" s="1">
        <v>39.36</v>
      </c>
    </row>
    <row r="650" spans="1:5">
      <c r="A650" s="1" t="s">
        <v>926</v>
      </c>
      <c r="B650" s="1" t="s">
        <v>307</v>
      </c>
      <c r="C650" s="10">
        <v>45936.409126567902</v>
      </c>
      <c r="D650" s="1" t="s">
        <v>10</v>
      </c>
      <c r="E650" s="1">
        <v>12.57</v>
      </c>
    </row>
    <row r="651" spans="1:5">
      <c r="A651" s="1" t="s">
        <v>927</v>
      </c>
      <c r="B651" s="1" t="s">
        <v>192</v>
      </c>
      <c r="C651" s="10">
        <v>46283.409126567902</v>
      </c>
      <c r="D651" s="1" t="s">
        <v>16</v>
      </c>
      <c r="E651" s="1">
        <v>11.31</v>
      </c>
    </row>
    <row r="652" spans="1:5">
      <c r="A652" s="1" t="s">
        <v>928</v>
      </c>
      <c r="B652" s="1" t="s">
        <v>544</v>
      </c>
      <c r="C652" s="10">
        <v>46125.409126567902</v>
      </c>
      <c r="D652" s="1" t="s">
        <v>13</v>
      </c>
      <c r="E652" s="1">
        <v>9.83</v>
      </c>
    </row>
    <row r="653" spans="1:5">
      <c r="A653" s="1" t="s">
        <v>929</v>
      </c>
      <c r="B653" s="1" t="s">
        <v>134</v>
      </c>
      <c r="C653" s="10">
        <v>46126.409126567902</v>
      </c>
      <c r="D653" s="1" t="s">
        <v>50</v>
      </c>
      <c r="E653" s="1">
        <v>5.45</v>
      </c>
    </row>
    <row r="654" spans="1:5">
      <c r="A654" s="1" t="s">
        <v>930</v>
      </c>
      <c r="B654" s="1" t="s">
        <v>558</v>
      </c>
      <c r="C654" s="10">
        <v>46247.409126567902</v>
      </c>
      <c r="D654" s="1" t="s">
        <v>10</v>
      </c>
      <c r="E654" s="1">
        <v>16.64</v>
      </c>
    </row>
    <row r="655" spans="1:5">
      <c r="A655" s="1" t="s">
        <v>931</v>
      </c>
      <c r="B655" s="1" t="s">
        <v>62</v>
      </c>
      <c r="C655" s="10">
        <v>46052.409126567902</v>
      </c>
      <c r="D655" s="1" t="s">
        <v>16</v>
      </c>
      <c r="E655" s="1">
        <v>9.41</v>
      </c>
    </row>
    <row r="656" spans="1:5">
      <c r="A656" s="1" t="s">
        <v>932</v>
      </c>
      <c r="B656" s="1" t="s">
        <v>230</v>
      </c>
      <c r="C656" s="10">
        <v>46069.409126567902</v>
      </c>
      <c r="D656" s="1" t="s">
        <v>50</v>
      </c>
      <c r="E656" s="1">
        <v>5.65</v>
      </c>
    </row>
    <row r="657" spans="1:5">
      <c r="A657" s="1" t="s">
        <v>933</v>
      </c>
      <c r="B657" s="1" t="s">
        <v>100</v>
      </c>
      <c r="C657" s="10">
        <v>45993.409126567902</v>
      </c>
      <c r="D657" s="1" t="s">
        <v>29</v>
      </c>
      <c r="E657" s="1">
        <v>25.16</v>
      </c>
    </row>
    <row r="658" spans="1:5">
      <c r="A658" s="1" t="s">
        <v>934</v>
      </c>
      <c r="B658" s="1" t="s">
        <v>370</v>
      </c>
      <c r="C658" s="10">
        <v>45979.409126567902</v>
      </c>
      <c r="D658" s="1" t="s">
        <v>50</v>
      </c>
      <c r="E658" s="1">
        <v>4.93</v>
      </c>
    </row>
    <row r="659" spans="1:5">
      <c r="A659" s="1" t="s">
        <v>935</v>
      </c>
      <c r="B659" s="1" t="s">
        <v>469</v>
      </c>
      <c r="C659" s="10">
        <v>46108.409126567902</v>
      </c>
      <c r="D659" s="1" t="s">
        <v>7</v>
      </c>
      <c r="E659" s="1">
        <v>32.729999999999997</v>
      </c>
    </row>
    <row r="660" spans="1:5">
      <c r="A660" s="1" t="s">
        <v>936</v>
      </c>
      <c r="B660" s="1" t="s">
        <v>52</v>
      </c>
      <c r="C660" s="10">
        <v>46095.409126567902</v>
      </c>
      <c r="D660" s="1" t="s">
        <v>7</v>
      </c>
      <c r="E660" s="1">
        <v>36.64</v>
      </c>
    </row>
    <row r="661" spans="1:5">
      <c r="A661" s="1" t="s">
        <v>937</v>
      </c>
      <c r="B661" s="1" t="s">
        <v>495</v>
      </c>
      <c r="C661" s="10">
        <v>46108.409126567902</v>
      </c>
      <c r="D661" s="1" t="s">
        <v>29</v>
      </c>
      <c r="E661" s="1">
        <v>29.31</v>
      </c>
    </row>
    <row r="662" spans="1:5">
      <c r="A662" s="1" t="s">
        <v>938</v>
      </c>
      <c r="B662" s="1" t="s">
        <v>713</v>
      </c>
      <c r="C662" s="10">
        <v>46252.409126567902</v>
      </c>
      <c r="D662" s="1" t="s">
        <v>10</v>
      </c>
      <c r="E662" s="1">
        <v>14.35</v>
      </c>
    </row>
    <row r="663" spans="1:5">
      <c r="A663" s="1" t="s">
        <v>939</v>
      </c>
      <c r="B663" s="1" t="s">
        <v>571</v>
      </c>
      <c r="C663" s="10">
        <v>46238.409126567902</v>
      </c>
      <c r="D663" s="1" t="s">
        <v>16</v>
      </c>
      <c r="E663" s="1">
        <v>10.19</v>
      </c>
    </row>
    <row r="664" spans="1:5">
      <c r="A664" s="1" t="s">
        <v>940</v>
      </c>
      <c r="B664" s="1" t="s">
        <v>147</v>
      </c>
      <c r="C664" s="10">
        <v>46084.409126567902</v>
      </c>
      <c r="D664" s="1" t="s">
        <v>50</v>
      </c>
      <c r="E664" s="1">
        <v>5.0599999999999996</v>
      </c>
    </row>
    <row r="665" spans="1:5">
      <c r="A665" s="1" t="s">
        <v>941</v>
      </c>
      <c r="B665" s="1" t="s">
        <v>219</v>
      </c>
      <c r="C665" s="10">
        <v>46015.409126567902</v>
      </c>
      <c r="D665" s="1" t="s">
        <v>7</v>
      </c>
      <c r="E665" s="1">
        <v>41.45</v>
      </c>
    </row>
    <row r="666" spans="1:5">
      <c r="A666" s="1" t="s">
        <v>942</v>
      </c>
      <c r="B666" s="1" t="s">
        <v>190</v>
      </c>
      <c r="C666" s="10">
        <v>46148.409126567902</v>
      </c>
      <c r="D666" s="1" t="s">
        <v>10</v>
      </c>
      <c r="E666" s="1">
        <v>12.37</v>
      </c>
    </row>
    <row r="667" spans="1:5">
      <c r="A667" s="1" t="s">
        <v>943</v>
      </c>
      <c r="B667" s="1" t="s">
        <v>9</v>
      </c>
      <c r="C667" s="10">
        <v>46138.409126567902</v>
      </c>
      <c r="D667" s="1" t="s">
        <v>29</v>
      </c>
      <c r="E667" s="1">
        <v>23.62</v>
      </c>
    </row>
    <row r="668" spans="1:5">
      <c r="A668" s="1" t="s">
        <v>944</v>
      </c>
      <c r="B668" s="1" t="s">
        <v>246</v>
      </c>
      <c r="C668" s="10">
        <v>46187.409126567902</v>
      </c>
      <c r="D668" s="1" t="s">
        <v>13</v>
      </c>
      <c r="E668" s="1">
        <v>13.07</v>
      </c>
    </row>
    <row r="669" spans="1:5">
      <c r="A669" s="1" t="s">
        <v>945</v>
      </c>
      <c r="B669" s="1" t="s">
        <v>820</v>
      </c>
      <c r="C669" s="10">
        <v>46164.409126567902</v>
      </c>
      <c r="D669" s="1" t="s">
        <v>7</v>
      </c>
      <c r="E669" s="1">
        <v>35.21</v>
      </c>
    </row>
    <row r="670" spans="1:5">
      <c r="A670" s="1" t="s">
        <v>946</v>
      </c>
      <c r="B670" s="1" t="s">
        <v>400</v>
      </c>
      <c r="C670" s="10">
        <v>46099.409126567902</v>
      </c>
      <c r="D670" s="1" t="s">
        <v>29</v>
      </c>
      <c r="E670" s="1">
        <v>22.04</v>
      </c>
    </row>
    <row r="671" spans="1:5">
      <c r="A671" s="1" t="s">
        <v>947</v>
      </c>
      <c r="B671" s="1" t="s">
        <v>114</v>
      </c>
      <c r="C671" s="10">
        <v>46162.409126567902</v>
      </c>
      <c r="D671" s="1" t="s">
        <v>50</v>
      </c>
      <c r="E671" s="1">
        <v>4.0199999999999996</v>
      </c>
    </row>
    <row r="672" spans="1:5">
      <c r="A672" s="1" t="s">
        <v>948</v>
      </c>
      <c r="B672" s="1" t="s">
        <v>134</v>
      </c>
      <c r="C672" s="10">
        <v>46082.409126567902</v>
      </c>
      <c r="D672" s="1" t="s">
        <v>16</v>
      </c>
      <c r="E672" s="1">
        <v>9.75</v>
      </c>
    </row>
    <row r="673" spans="1:5">
      <c r="A673" s="1" t="s">
        <v>949</v>
      </c>
      <c r="B673" s="1" t="s">
        <v>804</v>
      </c>
      <c r="C673" s="10">
        <v>45955.409126567902</v>
      </c>
      <c r="D673" s="1" t="s">
        <v>7</v>
      </c>
      <c r="E673" s="1">
        <v>46.12</v>
      </c>
    </row>
    <row r="674" spans="1:5">
      <c r="A674" s="1" t="s">
        <v>950</v>
      </c>
      <c r="B674" s="1" t="s">
        <v>795</v>
      </c>
      <c r="C674" s="10">
        <v>45982.409126567902</v>
      </c>
      <c r="D674" s="1" t="s">
        <v>7</v>
      </c>
      <c r="E674" s="1">
        <v>32.83</v>
      </c>
    </row>
    <row r="675" spans="1:5">
      <c r="A675" s="1" t="s">
        <v>951</v>
      </c>
      <c r="B675" s="1" t="s">
        <v>952</v>
      </c>
      <c r="C675" s="10">
        <v>46168.409126567902</v>
      </c>
      <c r="D675" s="1" t="s">
        <v>50</v>
      </c>
      <c r="E675" s="1">
        <v>4.38</v>
      </c>
    </row>
    <row r="676" spans="1:5">
      <c r="A676" s="1" t="s">
        <v>953</v>
      </c>
      <c r="B676" s="1" t="s">
        <v>250</v>
      </c>
      <c r="C676" s="10">
        <v>46240.409126567902</v>
      </c>
      <c r="D676" s="1" t="s">
        <v>13</v>
      </c>
      <c r="E676" s="1">
        <v>11.09</v>
      </c>
    </row>
    <row r="677" spans="1:5">
      <c r="A677" s="1" t="s">
        <v>954</v>
      </c>
      <c r="B677" s="1" t="s">
        <v>606</v>
      </c>
      <c r="C677" s="10">
        <v>45949.409126567902</v>
      </c>
      <c r="D677" s="1" t="s">
        <v>10</v>
      </c>
      <c r="E677" s="1">
        <v>16.39</v>
      </c>
    </row>
    <row r="678" spans="1:5">
      <c r="A678" s="1" t="s">
        <v>955</v>
      </c>
      <c r="B678" s="1" t="s">
        <v>323</v>
      </c>
      <c r="C678" s="10">
        <v>46078.409126567902</v>
      </c>
      <c r="D678" s="1" t="s">
        <v>16</v>
      </c>
      <c r="E678" s="1">
        <v>10.56</v>
      </c>
    </row>
    <row r="679" spans="1:5">
      <c r="A679" s="1" t="s">
        <v>956</v>
      </c>
      <c r="B679" s="1" t="s">
        <v>331</v>
      </c>
      <c r="C679" s="10">
        <v>45936.409126567902</v>
      </c>
      <c r="D679" s="1" t="s">
        <v>7</v>
      </c>
      <c r="E679" s="1">
        <v>38.659999999999997</v>
      </c>
    </row>
    <row r="680" spans="1:5">
      <c r="A680" s="1" t="s">
        <v>957</v>
      </c>
      <c r="B680" s="1" t="s">
        <v>258</v>
      </c>
      <c r="C680" s="10">
        <v>45989.409126567902</v>
      </c>
      <c r="D680" s="1" t="s">
        <v>16</v>
      </c>
      <c r="E680" s="1">
        <v>11.04</v>
      </c>
    </row>
    <row r="681" spans="1:5">
      <c r="A681" s="1" t="s">
        <v>958</v>
      </c>
      <c r="B681" s="1" t="s">
        <v>896</v>
      </c>
      <c r="C681" s="10">
        <v>46194.409126567902</v>
      </c>
      <c r="D681" s="1" t="s">
        <v>7</v>
      </c>
      <c r="E681" s="1">
        <v>41.75</v>
      </c>
    </row>
    <row r="682" spans="1:5">
      <c r="A682" s="1" t="s">
        <v>959</v>
      </c>
      <c r="B682" s="1" t="s">
        <v>493</v>
      </c>
      <c r="C682" s="10">
        <v>46079.409126567902</v>
      </c>
      <c r="D682" s="1" t="s">
        <v>16</v>
      </c>
      <c r="E682" s="1">
        <v>11.58</v>
      </c>
    </row>
    <row r="683" spans="1:5">
      <c r="A683" s="1" t="s">
        <v>960</v>
      </c>
      <c r="B683" s="1" t="s">
        <v>108</v>
      </c>
      <c r="C683" s="10">
        <v>45947.409126567902</v>
      </c>
      <c r="D683" s="1" t="s">
        <v>29</v>
      </c>
      <c r="E683" s="1">
        <v>28.18</v>
      </c>
    </row>
    <row r="684" spans="1:5">
      <c r="A684" s="1" t="s">
        <v>961</v>
      </c>
      <c r="B684" s="1" t="s">
        <v>217</v>
      </c>
      <c r="C684" s="10">
        <v>46265.409126567902</v>
      </c>
      <c r="D684" s="1" t="s">
        <v>7</v>
      </c>
      <c r="E684" s="1">
        <v>36.049999999999997</v>
      </c>
    </row>
    <row r="685" spans="1:5">
      <c r="A685" s="1" t="s">
        <v>962</v>
      </c>
      <c r="B685" s="1" t="s">
        <v>151</v>
      </c>
      <c r="C685" s="10">
        <v>46159.409126567902</v>
      </c>
      <c r="D685" s="1" t="s">
        <v>16</v>
      </c>
      <c r="E685" s="1">
        <v>9.09</v>
      </c>
    </row>
    <row r="686" spans="1:5">
      <c r="A686" s="1" t="s">
        <v>963</v>
      </c>
      <c r="B686" s="1" t="s">
        <v>439</v>
      </c>
      <c r="C686" s="10">
        <v>46207.409126567902</v>
      </c>
      <c r="D686" s="1" t="s">
        <v>10</v>
      </c>
      <c r="E686" s="1">
        <v>12.75</v>
      </c>
    </row>
    <row r="687" spans="1:5">
      <c r="A687" s="1" t="s">
        <v>964</v>
      </c>
      <c r="B687" s="1" t="s">
        <v>694</v>
      </c>
      <c r="C687" s="10">
        <v>46293.409126567902</v>
      </c>
      <c r="D687" s="1" t="s">
        <v>29</v>
      </c>
      <c r="E687" s="1">
        <v>23.37</v>
      </c>
    </row>
    <row r="688" spans="1:5">
      <c r="A688" s="1" t="s">
        <v>965</v>
      </c>
      <c r="B688" s="1" t="s">
        <v>537</v>
      </c>
      <c r="C688" s="10">
        <v>46091.409126567902</v>
      </c>
      <c r="D688" s="1" t="s">
        <v>29</v>
      </c>
      <c r="E688" s="1">
        <v>30</v>
      </c>
    </row>
    <row r="689" spans="1:5">
      <c r="A689" s="1" t="s">
        <v>966</v>
      </c>
      <c r="B689" s="1" t="s">
        <v>378</v>
      </c>
      <c r="C689" s="10">
        <v>45943.409126567902</v>
      </c>
      <c r="D689" s="1" t="s">
        <v>10</v>
      </c>
      <c r="E689" s="1">
        <v>14.43</v>
      </c>
    </row>
    <row r="690" spans="1:5">
      <c r="A690" s="1" t="s">
        <v>967</v>
      </c>
      <c r="B690" s="1" t="s">
        <v>469</v>
      </c>
      <c r="C690" s="10">
        <v>46057.409126567902</v>
      </c>
      <c r="D690" s="1" t="s">
        <v>16</v>
      </c>
      <c r="E690" s="1">
        <v>8.8800000000000008</v>
      </c>
    </row>
    <row r="691" spans="1:5">
      <c r="A691" s="1" t="s">
        <v>968</v>
      </c>
      <c r="B691" s="1" t="s">
        <v>836</v>
      </c>
      <c r="C691" s="10">
        <v>46283.409126567902</v>
      </c>
      <c r="D691" s="1" t="s">
        <v>50</v>
      </c>
      <c r="E691" s="1">
        <v>5.52</v>
      </c>
    </row>
    <row r="692" spans="1:5">
      <c r="A692" s="1" t="s">
        <v>969</v>
      </c>
      <c r="B692" s="1" t="s">
        <v>334</v>
      </c>
      <c r="C692" s="10">
        <v>46099.409126567902</v>
      </c>
      <c r="D692" s="1" t="s">
        <v>10</v>
      </c>
      <c r="E692" s="1">
        <v>15.25</v>
      </c>
    </row>
    <row r="693" spans="1:5">
      <c r="A693" s="1" t="s">
        <v>970</v>
      </c>
      <c r="B693" s="1" t="s">
        <v>12</v>
      </c>
      <c r="C693" s="10">
        <v>46025.409126567902</v>
      </c>
      <c r="D693" s="1" t="s">
        <v>16</v>
      </c>
      <c r="E693" s="1">
        <v>8.6</v>
      </c>
    </row>
    <row r="694" spans="1:5">
      <c r="A694" s="1" t="s">
        <v>971</v>
      </c>
      <c r="B694" s="1" t="s">
        <v>31</v>
      </c>
      <c r="C694" s="10">
        <v>46071.409126567902</v>
      </c>
      <c r="D694" s="1" t="s">
        <v>10</v>
      </c>
      <c r="E694" s="1">
        <v>14.28</v>
      </c>
    </row>
    <row r="695" spans="1:5">
      <c r="A695" s="1" t="s">
        <v>972</v>
      </c>
      <c r="B695" s="1" t="s">
        <v>130</v>
      </c>
      <c r="C695" s="10">
        <v>46121.409126567902</v>
      </c>
      <c r="D695" s="1" t="s">
        <v>10</v>
      </c>
      <c r="E695" s="1">
        <v>14.49</v>
      </c>
    </row>
    <row r="696" spans="1:5">
      <c r="A696" s="1" t="s">
        <v>973</v>
      </c>
      <c r="B696" s="1" t="s">
        <v>268</v>
      </c>
      <c r="C696" s="10">
        <v>46251.409126567902</v>
      </c>
      <c r="D696" s="1" t="s">
        <v>7</v>
      </c>
      <c r="E696" s="1">
        <v>44.06</v>
      </c>
    </row>
    <row r="697" spans="1:5">
      <c r="A697" s="1" t="s">
        <v>974</v>
      </c>
      <c r="B697" s="1" t="s">
        <v>380</v>
      </c>
      <c r="C697" s="10">
        <v>46113.409126567902</v>
      </c>
      <c r="D697" s="1" t="s">
        <v>16</v>
      </c>
      <c r="E697" s="1">
        <v>8.08</v>
      </c>
    </row>
    <row r="698" spans="1:5">
      <c r="A698" s="1" t="s">
        <v>975</v>
      </c>
      <c r="B698" s="1" t="s">
        <v>31</v>
      </c>
      <c r="C698" s="10">
        <v>45963.409126567902</v>
      </c>
      <c r="D698" s="1" t="s">
        <v>50</v>
      </c>
      <c r="E698" s="1">
        <v>4.54</v>
      </c>
    </row>
    <row r="699" spans="1:5">
      <c r="A699" s="1" t="s">
        <v>976</v>
      </c>
      <c r="B699" s="1" t="s">
        <v>885</v>
      </c>
      <c r="C699" s="10">
        <v>46155.409126567902</v>
      </c>
      <c r="D699" s="1" t="s">
        <v>7</v>
      </c>
      <c r="E699" s="1">
        <v>40.28</v>
      </c>
    </row>
    <row r="700" spans="1:5">
      <c r="A700" s="1" t="s">
        <v>977</v>
      </c>
      <c r="B700" s="1" t="s">
        <v>828</v>
      </c>
      <c r="C700" s="10">
        <v>46292.409126567902</v>
      </c>
      <c r="D700" s="1" t="s">
        <v>10</v>
      </c>
      <c r="E700" s="1">
        <v>13.61</v>
      </c>
    </row>
    <row r="701" spans="1:5">
      <c r="A701" s="1" t="s">
        <v>978</v>
      </c>
      <c r="B701" s="1" t="s">
        <v>655</v>
      </c>
      <c r="C701" s="10">
        <v>45976.409126567902</v>
      </c>
      <c r="D701" s="1" t="s">
        <v>13</v>
      </c>
      <c r="E701" s="1">
        <v>12.62</v>
      </c>
    </row>
    <row r="702" spans="1:5">
      <c r="A702" s="1" t="s">
        <v>979</v>
      </c>
      <c r="B702" s="1" t="s">
        <v>215</v>
      </c>
      <c r="C702" s="10">
        <v>46163.409126567902</v>
      </c>
      <c r="D702" s="1" t="s">
        <v>10</v>
      </c>
      <c r="E702" s="1">
        <v>14.89</v>
      </c>
    </row>
    <row r="703" spans="1:5">
      <c r="A703" s="1" t="s">
        <v>980</v>
      </c>
      <c r="B703" s="1" t="s">
        <v>228</v>
      </c>
      <c r="C703" s="10">
        <v>46127.409126567902</v>
      </c>
      <c r="D703" s="1" t="s">
        <v>10</v>
      </c>
      <c r="E703" s="1">
        <v>14.17</v>
      </c>
    </row>
    <row r="704" spans="1:5">
      <c r="A704" s="1" t="s">
        <v>981</v>
      </c>
      <c r="B704" s="1" t="s">
        <v>396</v>
      </c>
      <c r="C704" s="10">
        <v>46080.409126567902</v>
      </c>
      <c r="D704" s="1" t="s">
        <v>16</v>
      </c>
      <c r="E704" s="1">
        <v>11.8</v>
      </c>
    </row>
    <row r="705" spans="1:5">
      <c r="A705" s="1" t="s">
        <v>982</v>
      </c>
      <c r="B705" s="1" t="s">
        <v>96</v>
      </c>
      <c r="C705" s="10">
        <v>46136.409126567902</v>
      </c>
      <c r="D705" s="1" t="s">
        <v>16</v>
      </c>
      <c r="E705" s="1">
        <v>10.53</v>
      </c>
    </row>
    <row r="706" spans="1:5">
      <c r="A706" s="1" t="s">
        <v>983</v>
      </c>
      <c r="B706" s="1" t="s">
        <v>560</v>
      </c>
      <c r="C706" s="10">
        <v>46147.409126567902</v>
      </c>
      <c r="D706" s="1" t="s">
        <v>7</v>
      </c>
      <c r="E706" s="1">
        <v>34.08</v>
      </c>
    </row>
    <row r="707" spans="1:5">
      <c r="A707" s="1" t="s">
        <v>984</v>
      </c>
      <c r="B707" s="1" t="s">
        <v>344</v>
      </c>
      <c r="C707" s="10">
        <v>46155.409126567902</v>
      </c>
      <c r="D707" s="1" t="s">
        <v>50</v>
      </c>
      <c r="E707" s="1">
        <v>5.12</v>
      </c>
    </row>
    <row r="708" spans="1:5">
      <c r="A708" s="1" t="s">
        <v>985</v>
      </c>
      <c r="B708" s="1" t="s">
        <v>560</v>
      </c>
      <c r="C708" s="10">
        <v>46175.409126567902</v>
      </c>
      <c r="D708" s="1" t="s">
        <v>7</v>
      </c>
      <c r="E708" s="1">
        <v>44.49</v>
      </c>
    </row>
    <row r="709" spans="1:5">
      <c r="A709" s="1" t="s">
        <v>986</v>
      </c>
      <c r="B709" s="1" t="s">
        <v>256</v>
      </c>
      <c r="C709" s="10">
        <v>45981.409126567902</v>
      </c>
      <c r="D709" s="1" t="s">
        <v>29</v>
      </c>
      <c r="E709" s="1">
        <v>27.08</v>
      </c>
    </row>
    <row r="710" spans="1:5">
      <c r="A710" s="1" t="s">
        <v>987</v>
      </c>
      <c r="B710" s="1" t="s">
        <v>179</v>
      </c>
      <c r="C710" s="10">
        <v>45970.409126567902</v>
      </c>
      <c r="D710" s="1" t="s">
        <v>10</v>
      </c>
      <c r="E710" s="1">
        <v>13.03</v>
      </c>
    </row>
    <row r="711" spans="1:5">
      <c r="A711" s="1" t="s">
        <v>988</v>
      </c>
      <c r="B711" s="1" t="s">
        <v>493</v>
      </c>
      <c r="C711" s="10">
        <v>46188.409126567902</v>
      </c>
      <c r="D711" s="1" t="s">
        <v>13</v>
      </c>
      <c r="E711" s="1">
        <v>14.27</v>
      </c>
    </row>
    <row r="712" spans="1:5">
      <c r="A712" s="1" t="s">
        <v>989</v>
      </c>
      <c r="B712" s="1" t="s">
        <v>389</v>
      </c>
      <c r="C712" s="10">
        <v>46017.409126567902</v>
      </c>
      <c r="D712" s="1" t="s">
        <v>10</v>
      </c>
      <c r="E712" s="1">
        <v>14.69</v>
      </c>
    </row>
    <row r="713" spans="1:5">
      <c r="A713" s="1" t="s">
        <v>990</v>
      </c>
      <c r="B713" s="1" t="s">
        <v>241</v>
      </c>
      <c r="C713" s="10">
        <v>46191.409126567902</v>
      </c>
      <c r="D713" s="1" t="s">
        <v>10</v>
      </c>
      <c r="E713" s="1">
        <v>12.95</v>
      </c>
    </row>
    <row r="714" spans="1:5">
      <c r="A714" s="1" t="s">
        <v>991</v>
      </c>
      <c r="B714" s="1" t="s">
        <v>992</v>
      </c>
      <c r="C714" s="10">
        <v>46132.409126567902</v>
      </c>
      <c r="D714" s="1" t="s">
        <v>7</v>
      </c>
      <c r="E714" s="1">
        <v>34.880000000000003</v>
      </c>
    </row>
    <row r="715" spans="1:5">
      <c r="A715" s="1" t="s">
        <v>993</v>
      </c>
      <c r="B715" s="1" t="s">
        <v>173</v>
      </c>
      <c r="C715" s="10">
        <v>46238.409126567902</v>
      </c>
      <c r="D715" s="1" t="s">
        <v>13</v>
      </c>
      <c r="E715" s="1">
        <v>10.07</v>
      </c>
    </row>
    <row r="716" spans="1:5">
      <c r="A716" s="1" t="s">
        <v>994</v>
      </c>
      <c r="B716" s="1" t="s">
        <v>995</v>
      </c>
      <c r="C716" s="10">
        <v>45945.409126567902</v>
      </c>
      <c r="D716" s="1" t="s">
        <v>13</v>
      </c>
      <c r="E716" s="1">
        <v>13.46</v>
      </c>
    </row>
    <row r="717" spans="1:5">
      <c r="A717" s="1" t="s">
        <v>996</v>
      </c>
      <c r="B717" s="1" t="s">
        <v>409</v>
      </c>
      <c r="C717" s="10">
        <v>46247.409126567902</v>
      </c>
      <c r="D717" s="1" t="s">
        <v>13</v>
      </c>
      <c r="E717" s="1">
        <v>10.19</v>
      </c>
    </row>
    <row r="718" spans="1:5">
      <c r="A718" s="1" t="s">
        <v>997</v>
      </c>
      <c r="B718" s="1" t="s">
        <v>618</v>
      </c>
      <c r="C718" s="10">
        <v>46221.409126567902</v>
      </c>
      <c r="D718" s="1" t="s">
        <v>7</v>
      </c>
      <c r="E718" s="1">
        <v>34</v>
      </c>
    </row>
    <row r="719" spans="1:5">
      <c r="A719" s="1" t="s">
        <v>998</v>
      </c>
      <c r="B719" s="1" t="s">
        <v>98</v>
      </c>
      <c r="C719" s="10">
        <v>46177.409126567902</v>
      </c>
      <c r="D719" s="1" t="s">
        <v>10</v>
      </c>
      <c r="E719" s="1">
        <v>17.100000000000001</v>
      </c>
    </row>
    <row r="720" spans="1:5">
      <c r="A720" s="1" t="s">
        <v>999</v>
      </c>
      <c r="B720" s="1" t="s">
        <v>1000</v>
      </c>
      <c r="C720" s="10">
        <v>46186.409126567902</v>
      </c>
      <c r="D720" s="1" t="s">
        <v>7</v>
      </c>
      <c r="E720" s="1">
        <v>37.51</v>
      </c>
    </row>
    <row r="721" spans="1:5">
      <c r="A721" s="1" t="s">
        <v>1001</v>
      </c>
      <c r="B721" s="1" t="s">
        <v>398</v>
      </c>
      <c r="C721" s="10">
        <v>46300.409126567902</v>
      </c>
      <c r="D721" s="1" t="s">
        <v>16</v>
      </c>
      <c r="E721" s="1">
        <v>8.1199999999999992</v>
      </c>
    </row>
    <row r="722" spans="1:5">
      <c r="A722" s="1" t="s">
        <v>1002</v>
      </c>
      <c r="B722" s="1" t="s">
        <v>305</v>
      </c>
      <c r="C722" s="10">
        <v>45940.409126567902</v>
      </c>
      <c r="D722" s="1" t="s">
        <v>16</v>
      </c>
      <c r="E722" s="1">
        <v>8.2100000000000009</v>
      </c>
    </row>
    <row r="723" spans="1:5">
      <c r="A723" s="1" t="s">
        <v>1003</v>
      </c>
      <c r="B723" s="1" t="s">
        <v>284</v>
      </c>
      <c r="C723" s="10">
        <v>46054.409126567902</v>
      </c>
      <c r="D723" s="1" t="s">
        <v>7</v>
      </c>
      <c r="E723" s="1">
        <v>34.270000000000003</v>
      </c>
    </row>
    <row r="724" spans="1:5">
      <c r="A724" s="1" t="s">
        <v>1004</v>
      </c>
      <c r="B724" s="1" t="s">
        <v>742</v>
      </c>
      <c r="C724" s="10">
        <v>46224.409126567902</v>
      </c>
      <c r="D724" s="1" t="s">
        <v>13</v>
      </c>
      <c r="E724" s="1">
        <v>10.62</v>
      </c>
    </row>
    <row r="725" spans="1:5">
      <c r="A725" s="1" t="s">
        <v>1005</v>
      </c>
      <c r="B725" s="1" t="s">
        <v>429</v>
      </c>
      <c r="C725" s="10">
        <v>46000.409126567902</v>
      </c>
      <c r="D725" s="1" t="s">
        <v>10</v>
      </c>
      <c r="E725" s="1">
        <v>15.99</v>
      </c>
    </row>
    <row r="726" spans="1:5">
      <c r="A726" s="1" t="s">
        <v>1006</v>
      </c>
      <c r="B726" s="1" t="s">
        <v>337</v>
      </c>
      <c r="C726" s="10">
        <v>46081.409126567902</v>
      </c>
      <c r="D726" s="1" t="s">
        <v>7</v>
      </c>
      <c r="E726" s="1">
        <v>34.520000000000003</v>
      </c>
    </row>
    <row r="727" spans="1:5">
      <c r="A727" s="1" t="s">
        <v>1007</v>
      </c>
      <c r="B727" s="1" t="s">
        <v>246</v>
      </c>
      <c r="C727" s="10">
        <v>46159.409126567902</v>
      </c>
      <c r="D727" s="1" t="s">
        <v>7</v>
      </c>
      <c r="E727" s="1">
        <v>33.9</v>
      </c>
    </row>
    <row r="728" spans="1:5">
      <c r="A728" s="1" t="s">
        <v>1008</v>
      </c>
      <c r="B728" s="1" t="s">
        <v>179</v>
      </c>
      <c r="C728" s="10">
        <v>46174.409126567902</v>
      </c>
      <c r="D728" s="1" t="s">
        <v>7</v>
      </c>
      <c r="E728" s="1">
        <v>44.24</v>
      </c>
    </row>
    <row r="729" spans="1:5">
      <c r="A729" s="1" t="s">
        <v>1009</v>
      </c>
      <c r="B729" s="1" t="s">
        <v>54</v>
      </c>
      <c r="C729" s="10">
        <v>46112.409126567902</v>
      </c>
      <c r="D729" s="1" t="s">
        <v>29</v>
      </c>
      <c r="E729" s="1">
        <v>26.71</v>
      </c>
    </row>
    <row r="730" spans="1:5">
      <c r="A730" s="1" t="s">
        <v>1010</v>
      </c>
      <c r="B730" s="1" t="s">
        <v>891</v>
      </c>
      <c r="C730" s="10">
        <v>46202.409126567902</v>
      </c>
      <c r="D730" s="1" t="s">
        <v>16</v>
      </c>
      <c r="E730" s="1">
        <v>9.74</v>
      </c>
    </row>
    <row r="731" spans="1:5">
      <c r="A731" s="1" t="s">
        <v>1011</v>
      </c>
      <c r="B731" s="1" t="s">
        <v>1012</v>
      </c>
      <c r="C731" s="10">
        <v>46276.409126567902</v>
      </c>
      <c r="D731" s="1" t="s">
        <v>13</v>
      </c>
      <c r="E731" s="1">
        <v>12.24</v>
      </c>
    </row>
    <row r="732" spans="1:5">
      <c r="A732" s="1" t="s">
        <v>1013</v>
      </c>
      <c r="B732" s="1" t="s">
        <v>72</v>
      </c>
      <c r="C732" s="10">
        <v>46217.409126567902</v>
      </c>
      <c r="D732" s="1" t="s">
        <v>50</v>
      </c>
      <c r="E732" s="1">
        <v>4.62</v>
      </c>
    </row>
    <row r="733" spans="1:5">
      <c r="A733" s="1" t="s">
        <v>1014</v>
      </c>
      <c r="B733" s="1" t="s">
        <v>157</v>
      </c>
      <c r="C733" s="10">
        <v>45998.409126567902</v>
      </c>
      <c r="D733" s="1" t="s">
        <v>13</v>
      </c>
      <c r="E733" s="1">
        <v>11.92</v>
      </c>
    </row>
    <row r="734" spans="1:5">
      <c r="A734" s="1" t="s">
        <v>1015</v>
      </c>
      <c r="B734" s="1" t="s">
        <v>902</v>
      </c>
      <c r="C734" s="10">
        <v>46152.409126567902</v>
      </c>
      <c r="D734" s="1" t="s">
        <v>50</v>
      </c>
      <c r="E734" s="1">
        <v>5.01</v>
      </c>
    </row>
    <row r="735" spans="1:5">
      <c r="A735" s="1" t="s">
        <v>1016</v>
      </c>
      <c r="B735" s="1" t="s">
        <v>213</v>
      </c>
      <c r="C735" s="10">
        <v>46277.409126567902</v>
      </c>
      <c r="D735" s="1" t="s">
        <v>29</v>
      </c>
      <c r="E735" s="1">
        <v>23.87</v>
      </c>
    </row>
    <row r="736" spans="1:5">
      <c r="A736" s="1" t="s">
        <v>1017</v>
      </c>
      <c r="B736" s="1" t="s">
        <v>454</v>
      </c>
      <c r="C736" s="10">
        <v>46250.409126567902</v>
      </c>
      <c r="D736" s="1" t="s">
        <v>7</v>
      </c>
      <c r="E736" s="1">
        <v>46.51</v>
      </c>
    </row>
    <row r="737" spans="1:5">
      <c r="A737" s="1" t="s">
        <v>1018</v>
      </c>
      <c r="B737" s="1" t="s">
        <v>1019</v>
      </c>
      <c r="C737" s="10">
        <v>46218.409126567902</v>
      </c>
      <c r="D737" s="1" t="s">
        <v>29</v>
      </c>
      <c r="E737" s="1">
        <v>20.16</v>
      </c>
    </row>
    <row r="738" spans="1:5">
      <c r="A738" s="1" t="s">
        <v>1020</v>
      </c>
      <c r="B738" s="1" t="s">
        <v>411</v>
      </c>
      <c r="C738" s="10">
        <v>46112.409126567902</v>
      </c>
      <c r="D738" s="1" t="s">
        <v>29</v>
      </c>
      <c r="E738" s="1">
        <v>27.82</v>
      </c>
    </row>
    <row r="739" spans="1:5">
      <c r="A739" s="1" t="s">
        <v>1021</v>
      </c>
      <c r="B739" s="1" t="s">
        <v>272</v>
      </c>
      <c r="C739" s="10">
        <v>46033.409126567902</v>
      </c>
      <c r="D739" s="1" t="s">
        <v>10</v>
      </c>
      <c r="E739" s="1">
        <v>12.75</v>
      </c>
    </row>
    <row r="740" spans="1:5">
      <c r="A740" s="1" t="s">
        <v>1022</v>
      </c>
      <c r="B740" s="1" t="s">
        <v>898</v>
      </c>
      <c r="C740" s="10">
        <v>46040.409126567902</v>
      </c>
      <c r="D740" s="1" t="s">
        <v>16</v>
      </c>
      <c r="E740" s="1">
        <v>11.19</v>
      </c>
    </row>
    <row r="741" spans="1:5">
      <c r="A741" s="1" t="s">
        <v>1023</v>
      </c>
      <c r="B741" s="1" t="s">
        <v>279</v>
      </c>
      <c r="C741" s="10">
        <v>46034.409126567902</v>
      </c>
      <c r="D741" s="1" t="s">
        <v>50</v>
      </c>
      <c r="E741" s="1">
        <v>5.23</v>
      </c>
    </row>
    <row r="742" spans="1:5">
      <c r="A742" s="1" t="s">
        <v>1024</v>
      </c>
      <c r="B742" s="1" t="s">
        <v>368</v>
      </c>
      <c r="C742" s="10">
        <v>46246.409126567902</v>
      </c>
      <c r="D742" s="1" t="s">
        <v>7</v>
      </c>
      <c r="E742" s="1">
        <v>45.49</v>
      </c>
    </row>
    <row r="743" spans="1:5">
      <c r="A743" s="1" t="s">
        <v>1025</v>
      </c>
      <c r="B743" s="1" t="s">
        <v>723</v>
      </c>
      <c r="C743" s="10">
        <v>45941.409126567902</v>
      </c>
      <c r="D743" s="1" t="s">
        <v>50</v>
      </c>
      <c r="E743" s="1">
        <v>4.2</v>
      </c>
    </row>
    <row r="744" spans="1:5">
      <c r="A744" s="1" t="s">
        <v>1026</v>
      </c>
      <c r="B744" s="1" t="s">
        <v>528</v>
      </c>
      <c r="C744" s="10">
        <v>46132.409126567902</v>
      </c>
      <c r="D744" s="1" t="s">
        <v>13</v>
      </c>
      <c r="E744" s="1">
        <v>12.28</v>
      </c>
    </row>
    <row r="745" spans="1:5">
      <c r="A745" s="1" t="s">
        <v>1027</v>
      </c>
      <c r="B745" s="1" t="s">
        <v>248</v>
      </c>
      <c r="C745" s="10">
        <v>46286.409126567902</v>
      </c>
      <c r="D745" s="1" t="s">
        <v>50</v>
      </c>
      <c r="E745" s="1">
        <v>5</v>
      </c>
    </row>
    <row r="746" spans="1:5">
      <c r="A746" s="1" t="s">
        <v>1028</v>
      </c>
      <c r="B746" s="1" t="s">
        <v>159</v>
      </c>
      <c r="C746" s="10">
        <v>46068.409126567902</v>
      </c>
      <c r="D746" s="1" t="s">
        <v>13</v>
      </c>
      <c r="E746" s="1">
        <v>12.99</v>
      </c>
    </row>
    <row r="747" spans="1:5">
      <c r="A747" s="1" t="s">
        <v>1029</v>
      </c>
      <c r="B747" s="1" t="s">
        <v>1030</v>
      </c>
      <c r="C747" s="10">
        <v>46293.409126567902</v>
      </c>
      <c r="D747" s="1" t="s">
        <v>16</v>
      </c>
      <c r="E747" s="1">
        <v>10.14</v>
      </c>
    </row>
    <row r="748" spans="1:5">
      <c r="A748" s="1" t="s">
        <v>1031</v>
      </c>
      <c r="B748" s="1" t="s">
        <v>694</v>
      </c>
      <c r="C748" s="10">
        <v>46194.409126567902</v>
      </c>
      <c r="D748" s="1" t="s">
        <v>13</v>
      </c>
      <c r="E748" s="1">
        <v>12.2</v>
      </c>
    </row>
    <row r="749" spans="1:5">
      <c r="A749" s="1" t="s">
        <v>1032</v>
      </c>
      <c r="B749" s="1" t="s">
        <v>92</v>
      </c>
      <c r="C749" s="10">
        <v>45958.409126567902</v>
      </c>
      <c r="D749" s="1" t="s">
        <v>50</v>
      </c>
      <c r="E749" s="1">
        <v>4.8600000000000003</v>
      </c>
    </row>
    <row r="750" spans="1:5">
      <c r="A750" s="1" t="s">
        <v>1033</v>
      </c>
      <c r="B750" s="1" t="s">
        <v>179</v>
      </c>
      <c r="C750" s="10">
        <v>45988.409126567902</v>
      </c>
      <c r="D750" s="1" t="s">
        <v>50</v>
      </c>
      <c r="E750" s="1">
        <v>4.62</v>
      </c>
    </row>
    <row r="751" spans="1:5">
      <c r="A751" s="1" t="s">
        <v>1034</v>
      </c>
      <c r="B751" s="1" t="s">
        <v>752</v>
      </c>
      <c r="C751" s="10">
        <v>46100.409126567902</v>
      </c>
      <c r="D751" s="1" t="s">
        <v>13</v>
      </c>
      <c r="E751" s="1">
        <v>11.91</v>
      </c>
    </row>
    <row r="752" spans="1:5">
      <c r="A752" s="1" t="s">
        <v>1035</v>
      </c>
      <c r="B752" s="1" t="s">
        <v>448</v>
      </c>
      <c r="C752" s="10">
        <v>46137.409126567902</v>
      </c>
      <c r="D752" s="1" t="s">
        <v>29</v>
      </c>
      <c r="E752" s="1">
        <v>21.18</v>
      </c>
    </row>
    <row r="753" spans="1:5">
      <c r="A753" s="1" t="s">
        <v>1036</v>
      </c>
      <c r="B753" s="1" t="s">
        <v>102</v>
      </c>
      <c r="C753" s="10">
        <v>46018.409126567902</v>
      </c>
      <c r="D753" s="1" t="s">
        <v>16</v>
      </c>
      <c r="E753" s="1">
        <v>11.85</v>
      </c>
    </row>
    <row r="754" spans="1:5">
      <c r="A754" s="1" t="s">
        <v>1037</v>
      </c>
      <c r="B754" s="1" t="s">
        <v>487</v>
      </c>
      <c r="C754" s="10">
        <v>46080.409126567902</v>
      </c>
      <c r="D754" s="1" t="s">
        <v>10</v>
      </c>
      <c r="E754" s="1">
        <v>16.29</v>
      </c>
    </row>
    <row r="755" spans="1:5">
      <c r="A755" s="1" t="s">
        <v>1038</v>
      </c>
      <c r="B755" s="1" t="s">
        <v>337</v>
      </c>
      <c r="C755" s="10">
        <v>46020.409126567902</v>
      </c>
      <c r="D755" s="1" t="s">
        <v>7</v>
      </c>
      <c r="E755" s="1">
        <v>47.24</v>
      </c>
    </row>
    <row r="756" spans="1:5">
      <c r="A756" s="1" t="s">
        <v>1039</v>
      </c>
      <c r="B756" s="1" t="s">
        <v>86</v>
      </c>
      <c r="C756" s="10">
        <v>46013.409126567902</v>
      </c>
      <c r="D756" s="1" t="s">
        <v>50</v>
      </c>
      <c r="E756" s="1">
        <v>4.45</v>
      </c>
    </row>
    <row r="757" spans="1:5">
      <c r="A757" s="1" t="s">
        <v>1040</v>
      </c>
      <c r="B757" s="1" t="s">
        <v>317</v>
      </c>
      <c r="C757" s="10">
        <v>45936.409126567902</v>
      </c>
      <c r="D757" s="1" t="s">
        <v>7</v>
      </c>
      <c r="E757" s="1">
        <v>46.07</v>
      </c>
    </row>
    <row r="758" spans="1:5">
      <c r="A758" s="1" t="s">
        <v>1041</v>
      </c>
      <c r="B758" s="1" t="s">
        <v>441</v>
      </c>
      <c r="C758" s="10">
        <v>45986.409126567902</v>
      </c>
      <c r="D758" s="1" t="s">
        <v>10</v>
      </c>
      <c r="E758" s="1">
        <v>16.850000000000001</v>
      </c>
    </row>
    <row r="759" spans="1:5">
      <c r="A759" s="1" t="s">
        <v>1042</v>
      </c>
      <c r="B759" s="1" t="s">
        <v>870</v>
      </c>
      <c r="C759" s="10">
        <v>46108.409126567902</v>
      </c>
      <c r="D759" s="1" t="s">
        <v>7</v>
      </c>
      <c r="E759" s="1">
        <v>42.83</v>
      </c>
    </row>
    <row r="760" spans="1:5">
      <c r="A760" s="1" t="s">
        <v>1043</v>
      </c>
      <c r="B760" s="1" t="s">
        <v>114</v>
      </c>
      <c r="C760" s="10">
        <v>46140.409126567902</v>
      </c>
      <c r="D760" s="1" t="s">
        <v>10</v>
      </c>
      <c r="E760" s="1">
        <v>15.75</v>
      </c>
    </row>
    <row r="761" spans="1:5">
      <c r="A761" s="1" t="s">
        <v>1044</v>
      </c>
      <c r="B761" s="1" t="s">
        <v>183</v>
      </c>
      <c r="C761" s="10">
        <v>46195.409126567902</v>
      </c>
      <c r="D761" s="1" t="s">
        <v>13</v>
      </c>
      <c r="E761" s="1">
        <v>11.12</v>
      </c>
    </row>
    <row r="762" spans="1:5">
      <c r="A762" s="1" t="s">
        <v>1045</v>
      </c>
      <c r="B762" s="1" t="s">
        <v>349</v>
      </c>
      <c r="C762" s="10">
        <v>46223.409126567902</v>
      </c>
      <c r="D762" s="1" t="s">
        <v>29</v>
      </c>
      <c r="E762" s="1">
        <v>28.16</v>
      </c>
    </row>
    <row r="763" spans="1:5">
      <c r="A763" s="1" t="s">
        <v>1046</v>
      </c>
      <c r="B763" s="1" t="s">
        <v>1047</v>
      </c>
      <c r="C763" s="10">
        <v>45969.409126567902</v>
      </c>
      <c r="D763" s="1" t="s">
        <v>50</v>
      </c>
      <c r="E763" s="1">
        <v>5</v>
      </c>
    </row>
    <row r="764" spans="1:5">
      <c r="A764" s="1" t="s">
        <v>1048</v>
      </c>
      <c r="B764" s="1" t="s">
        <v>1049</v>
      </c>
      <c r="C764" s="10">
        <v>46283.409126567902</v>
      </c>
      <c r="D764" s="1" t="s">
        <v>10</v>
      </c>
      <c r="E764" s="1">
        <v>12.43</v>
      </c>
    </row>
    <row r="765" spans="1:5">
      <c r="A765" s="1" t="s">
        <v>1050</v>
      </c>
      <c r="B765" s="1" t="s">
        <v>344</v>
      </c>
      <c r="C765" s="10">
        <v>46030.409126567902</v>
      </c>
      <c r="D765" s="1" t="s">
        <v>7</v>
      </c>
      <c r="E765" s="1">
        <v>37.01</v>
      </c>
    </row>
    <row r="766" spans="1:5">
      <c r="A766" s="1" t="s">
        <v>1051</v>
      </c>
      <c r="B766" s="1" t="s">
        <v>1052</v>
      </c>
      <c r="C766" s="10">
        <v>46007.409126567902</v>
      </c>
      <c r="D766" s="1" t="s">
        <v>50</v>
      </c>
      <c r="E766" s="1">
        <v>5.87</v>
      </c>
    </row>
    <row r="767" spans="1:5">
      <c r="A767" s="1" t="s">
        <v>1053</v>
      </c>
      <c r="B767" s="1" t="s">
        <v>96</v>
      </c>
      <c r="C767" s="10">
        <v>45974.409126567902</v>
      </c>
      <c r="D767" s="1" t="s">
        <v>29</v>
      </c>
      <c r="E767" s="1">
        <v>28.51</v>
      </c>
    </row>
    <row r="768" spans="1:5">
      <c r="A768" s="1" t="s">
        <v>1054</v>
      </c>
      <c r="B768" s="1" t="s">
        <v>400</v>
      </c>
      <c r="C768" s="10">
        <v>46089.409126567902</v>
      </c>
      <c r="D768" s="1" t="s">
        <v>13</v>
      </c>
      <c r="E768" s="1">
        <v>14.31</v>
      </c>
    </row>
    <row r="769" spans="1:5">
      <c r="A769" s="1" t="s">
        <v>1055</v>
      </c>
      <c r="B769" s="1" t="s">
        <v>213</v>
      </c>
      <c r="C769" s="10">
        <v>46185.409126567902</v>
      </c>
      <c r="D769" s="1" t="s">
        <v>50</v>
      </c>
      <c r="E769" s="1">
        <v>5.26</v>
      </c>
    </row>
    <row r="770" spans="1:5">
      <c r="A770" s="1" t="s">
        <v>1056</v>
      </c>
      <c r="B770" s="1" t="s">
        <v>469</v>
      </c>
      <c r="C770" s="10">
        <v>46097.409126567902</v>
      </c>
      <c r="D770" s="1" t="s">
        <v>10</v>
      </c>
      <c r="E770" s="1">
        <v>13.49</v>
      </c>
    </row>
    <row r="771" spans="1:5">
      <c r="A771" s="1" t="s">
        <v>1057</v>
      </c>
      <c r="B771" s="1" t="s">
        <v>130</v>
      </c>
      <c r="C771" s="10">
        <v>46053.409126567902</v>
      </c>
      <c r="D771" s="1" t="s">
        <v>29</v>
      </c>
      <c r="E771" s="1">
        <v>21.63</v>
      </c>
    </row>
    <row r="772" spans="1:5">
      <c r="A772" s="1" t="s">
        <v>1058</v>
      </c>
      <c r="B772" s="1" t="s">
        <v>96</v>
      </c>
      <c r="C772" s="10">
        <v>46194.409126567902</v>
      </c>
      <c r="D772" s="1" t="s">
        <v>7</v>
      </c>
      <c r="E772" s="1">
        <v>34.99</v>
      </c>
    </row>
    <row r="773" spans="1:5">
      <c r="A773" s="1" t="s">
        <v>1059</v>
      </c>
      <c r="B773" s="1" t="s">
        <v>136</v>
      </c>
      <c r="C773" s="10">
        <v>46241.409126567902</v>
      </c>
      <c r="D773" s="1" t="s">
        <v>29</v>
      </c>
      <c r="E773" s="1">
        <v>20.2</v>
      </c>
    </row>
    <row r="774" spans="1:5">
      <c r="A774" s="1" t="s">
        <v>1060</v>
      </c>
      <c r="B774" s="1" t="s">
        <v>31</v>
      </c>
      <c r="C774" s="10">
        <v>46203.409126567902</v>
      </c>
      <c r="D774" s="1" t="s">
        <v>29</v>
      </c>
      <c r="E774" s="1">
        <v>23.91</v>
      </c>
    </row>
    <row r="775" spans="1:5">
      <c r="A775" s="1" t="s">
        <v>1061</v>
      </c>
      <c r="B775" s="1" t="s">
        <v>28</v>
      </c>
      <c r="C775" s="10">
        <v>45989.409126567902</v>
      </c>
      <c r="D775" s="1" t="s">
        <v>16</v>
      </c>
      <c r="E775" s="1">
        <v>8.77</v>
      </c>
    </row>
    <row r="776" spans="1:5">
      <c r="A776" s="1" t="s">
        <v>1062</v>
      </c>
      <c r="B776" s="1" t="s">
        <v>136</v>
      </c>
      <c r="C776" s="10">
        <v>46171.409126567902</v>
      </c>
      <c r="D776" s="1" t="s">
        <v>29</v>
      </c>
      <c r="E776" s="1">
        <v>24.12</v>
      </c>
    </row>
    <row r="777" spans="1:5">
      <c r="A777" s="1" t="s">
        <v>1063</v>
      </c>
      <c r="B777" s="1" t="s">
        <v>112</v>
      </c>
      <c r="C777" s="10">
        <v>46157.409126567902</v>
      </c>
      <c r="D777" s="1" t="s">
        <v>29</v>
      </c>
      <c r="E777" s="1">
        <v>29.35</v>
      </c>
    </row>
    <row r="778" spans="1:5">
      <c r="A778" s="1" t="s">
        <v>1064</v>
      </c>
      <c r="B778" s="1" t="s">
        <v>1065</v>
      </c>
      <c r="C778" s="10">
        <v>46186.409126567902</v>
      </c>
      <c r="D778" s="1" t="s">
        <v>50</v>
      </c>
      <c r="E778" s="1">
        <v>4.8600000000000003</v>
      </c>
    </row>
    <row r="779" spans="1:5">
      <c r="A779" s="1" t="s">
        <v>1066</v>
      </c>
      <c r="B779" s="1" t="s">
        <v>1030</v>
      </c>
      <c r="C779" s="10">
        <v>46248.409126567902</v>
      </c>
      <c r="D779" s="1" t="s">
        <v>7</v>
      </c>
      <c r="E779" s="1">
        <v>46.05</v>
      </c>
    </row>
    <row r="780" spans="1:5">
      <c r="A780" s="1" t="s">
        <v>1067</v>
      </c>
      <c r="B780" s="1" t="s">
        <v>809</v>
      </c>
      <c r="C780" s="10">
        <v>46047.409126567902</v>
      </c>
      <c r="D780" s="1" t="s">
        <v>50</v>
      </c>
      <c r="E780" s="1">
        <v>5.21</v>
      </c>
    </row>
    <row r="781" spans="1:5">
      <c r="A781" s="1" t="s">
        <v>1068</v>
      </c>
      <c r="B781" s="1" t="s">
        <v>64</v>
      </c>
      <c r="C781" s="10">
        <v>46190.409126567902</v>
      </c>
      <c r="D781" s="1" t="s">
        <v>50</v>
      </c>
      <c r="E781" s="1">
        <v>4.49</v>
      </c>
    </row>
    <row r="782" spans="1:5">
      <c r="A782" s="1" t="s">
        <v>1069</v>
      </c>
      <c r="B782" s="1" t="s">
        <v>18</v>
      </c>
      <c r="C782" s="10">
        <v>46238.409126567902</v>
      </c>
      <c r="D782" s="1" t="s">
        <v>10</v>
      </c>
      <c r="E782" s="1">
        <v>14.14</v>
      </c>
    </row>
    <row r="783" spans="1:5">
      <c r="A783" s="1" t="s">
        <v>1070</v>
      </c>
      <c r="B783" s="1" t="s">
        <v>511</v>
      </c>
      <c r="C783" s="10">
        <v>46142.409126567902</v>
      </c>
      <c r="D783" s="1" t="s">
        <v>50</v>
      </c>
      <c r="E783" s="1">
        <v>4.17</v>
      </c>
    </row>
    <row r="784" spans="1:5">
      <c r="A784" s="1" t="s">
        <v>1071</v>
      </c>
      <c r="B784" s="1" t="s">
        <v>221</v>
      </c>
      <c r="C784" s="10">
        <v>46164.409126567902</v>
      </c>
      <c r="D784" s="1" t="s">
        <v>16</v>
      </c>
      <c r="E784" s="1">
        <v>9.33</v>
      </c>
    </row>
    <row r="785" spans="1:5">
      <c r="A785" s="1" t="s">
        <v>1072</v>
      </c>
      <c r="B785" s="1" t="s">
        <v>15</v>
      </c>
      <c r="C785" s="10">
        <v>46276.409126567902</v>
      </c>
      <c r="D785" s="1" t="s">
        <v>16</v>
      </c>
      <c r="E785" s="1">
        <v>10.71</v>
      </c>
    </row>
    <row r="786" spans="1:5">
      <c r="A786" s="1" t="s">
        <v>1073</v>
      </c>
      <c r="B786" s="1" t="s">
        <v>407</v>
      </c>
      <c r="C786" s="10">
        <v>46001.409126567902</v>
      </c>
      <c r="D786" s="1" t="s">
        <v>10</v>
      </c>
      <c r="E786" s="1">
        <v>12.43</v>
      </c>
    </row>
    <row r="787" spans="1:5">
      <c r="A787" s="1" t="s">
        <v>1074</v>
      </c>
      <c r="B787" s="1" t="s">
        <v>153</v>
      </c>
      <c r="C787" s="10">
        <v>46010.409126567902</v>
      </c>
      <c r="D787" s="1" t="s">
        <v>13</v>
      </c>
      <c r="E787" s="1">
        <v>10.59</v>
      </c>
    </row>
    <row r="788" spans="1:5">
      <c r="A788" s="1" t="s">
        <v>1075</v>
      </c>
      <c r="B788" s="1" t="s">
        <v>66</v>
      </c>
      <c r="C788" s="10">
        <v>46038.409126567902</v>
      </c>
      <c r="D788" s="1" t="s">
        <v>7</v>
      </c>
      <c r="E788" s="1">
        <v>38.1</v>
      </c>
    </row>
    <row r="789" spans="1:5">
      <c r="A789" s="1" t="s">
        <v>1076</v>
      </c>
      <c r="B789" s="1" t="s">
        <v>571</v>
      </c>
      <c r="C789" s="10">
        <v>46127.409126567902</v>
      </c>
      <c r="D789" s="1" t="s">
        <v>7</v>
      </c>
      <c r="E789" s="1">
        <v>47.71</v>
      </c>
    </row>
    <row r="790" spans="1:5">
      <c r="A790" s="1" t="s">
        <v>1077</v>
      </c>
      <c r="B790" s="1" t="s">
        <v>891</v>
      </c>
      <c r="C790" s="10">
        <v>46187.409126567902</v>
      </c>
      <c r="D790" s="1" t="s">
        <v>50</v>
      </c>
      <c r="E790" s="1">
        <v>5.57</v>
      </c>
    </row>
    <row r="791" spans="1:5">
      <c r="A791" s="1" t="s">
        <v>1078</v>
      </c>
      <c r="B791" s="1" t="s">
        <v>340</v>
      </c>
      <c r="C791" s="10">
        <v>46161.409126567902</v>
      </c>
      <c r="D791" s="1" t="s">
        <v>50</v>
      </c>
      <c r="E791" s="1">
        <v>5.47</v>
      </c>
    </row>
    <row r="792" spans="1:5">
      <c r="A792" s="1" t="s">
        <v>1079</v>
      </c>
      <c r="B792" s="1" t="s">
        <v>233</v>
      </c>
      <c r="C792" s="10">
        <v>46229.409126567902</v>
      </c>
      <c r="D792" s="1" t="s">
        <v>13</v>
      </c>
      <c r="E792" s="1">
        <v>10.16</v>
      </c>
    </row>
    <row r="793" spans="1:5">
      <c r="A793" s="1" t="s">
        <v>1080</v>
      </c>
      <c r="B793" s="1" t="s">
        <v>211</v>
      </c>
      <c r="C793" s="10">
        <v>46241.409126567902</v>
      </c>
      <c r="D793" s="1" t="s">
        <v>50</v>
      </c>
      <c r="E793" s="1">
        <v>5.56</v>
      </c>
    </row>
    <row r="794" spans="1:5">
      <c r="A794" s="1" t="s">
        <v>1081</v>
      </c>
      <c r="B794" s="1" t="s">
        <v>1082</v>
      </c>
      <c r="C794" s="10">
        <v>46033.409126567902</v>
      </c>
      <c r="D794" s="1" t="s">
        <v>7</v>
      </c>
      <c r="E794" s="1">
        <v>44.56</v>
      </c>
    </row>
    <row r="795" spans="1:5">
      <c r="A795" s="1" t="s">
        <v>1083</v>
      </c>
      <c r="B795" s="1" t="s">
        <v>334</v>
      </c>
      <c r="C795" s="10">
        <v>46273.409126567902</v>
      </c>
      <c r="D795" s="1" t="s">
        <v>29</v>
      </c>
      <c r="E795" s="1">
        <v>26.01</v>
      </c>
    </row>
    <row r="796" spans="1:5">
      <c r="A796" s="1" t="s">
        <v>1084</v>
      </c>
      <c r="B796" s="1" t="s">
        <v>209</v>
      </c>
      <c r="C796" s="10">
        <v>46221.409126567902</v>
      </c>
      <c r="D796" s="1" t="s">
        <v>16</v>
      </c>
      <c r="E796" s="1">
        <v>11.96</v>
      </c>
    </row>
    <row r="797" spans="1:5">
      <c r="A797" s="1" t="s">
        <v>1085</v>
      </c>
      <c r="B797" s="1" t="s">
        <v>56</v>
      </c>
      <c r="C797" s="10">
        <v>46270.409126567902</v>
      </c>
      <c r="D797" s="1" t="s">
        <v>29</v>
      </c>
      <c r="E797" s="1">
        <v>23.25</v>
      </c>
    </row>
    <row r="798" spans="1:5">
      <c r="A798" s="1" t="s">
        <v>1086</v>
      </c>
      <c r="B798" s="1" t="s">
        <v>497</v>
      </c>
      <c r="C798" s="10">
        <v>46282.409126567902</v>
      </c>
      <c r="D798" s="1" t="s">
        <v>29</v>
      </c>
      <c r="E798" s="1">
        <v>29.41</v>
      </c>
    </row>
    <row r="799" spans="1:5">
      <c r="A799" s="1" t="s">
        <v>1087</v>
      </c>
      <c r="B799" s="1" t="s">
        <v>745</v>
      </c>
      <c r="C799" s="10">
        <v>46243.409126567902</v>
      </c>
      <c r="D799" s="1" t="s">
        <v>7</v>
      </c>
      <c r="E799" s="1">
        <v>46.64</v>
      </c>
    </row>
    <row r="800" spans="1:5">
      <c r="A800" s="1" t="s">
        <v>1088</v>
      </c>
      <c r="B800" s="1" t="s">
        <v>1089</v>
      </c>
      <c r="C800" s="10">
        <v>46184.409126567902</v>
      </c>
      <c r="D800" s="1" t="s">
        <v>29</v>
      </c>
      <c r="E800" s="1">
        <v>20.11</v>
      </c>
    </row>
    <row r="801" spans="1:5">
      <c r="A801" s="1" t="s">
        <v>1090</v>
      </c>
      <c r="B801" s="1" t="s">
        <v>687</v>
      </c>
      <c r="C801" s="10">
        <v>46101.409126567902</v>
      </c>
      <c r="D801" s="1" t="s">
        <v>13</v>
      </c>
      <c r="E801" s="1">
        <v>11.76</v>
      </c>
    </row>
    <row r="802" spans="1:5">
      <c r="A802" s="1" t="s">
        <v>1091</v>
      </c>
      <c r="B802" s="1" t="s">
        <v>321</v>
      </c>
      <c r="C802" s="10">
        <v>46270.409126567902</v>
      </c>
      <c r="D802" s="1" t="s">
        <v>10</v>
      </c>
      <c r="E802" s="1">
        <v>17.86</v>
      </c>
    </row>
    <row r="803" spans="1:5">
      <c r="A803" s="1" t="s">
        <v>1092</v>
      </c>
      <c r="B803" s="1" t="s">
        <v>836</v>
      </c>
      <c r="C803" s="10">
        <v>45965.409126567902</v>
      </c>
      <c r="D803" s="1" t="s">
        <v>50</v>
      </c>
      <c r="E803" s="1">
        <v>4.21</v>
      </c>
    </row>
    <row r="804" spans="1:5">
      <c r="A804" s="1" t="s">
        <v>1093</v>
      </c>
      <c r="B804" s="1" t="s">
        <v>74</v>
      </c>
      <c r="C804" s="10">
        <v>46182.409126567902</v>
      </c>
      <c r="D804" s="1" t="s">
        <v>10</v>
      </c>
      <c r="E804" s="1">
        <v>15.29</v>
      </c>
    </row>
    <row r="805" spans="1:5">
      <c r="A805" s="1" t="s">
        <v>1094</v>
      </c>
      <c r="B805" s="1" t="s">
        <v>374</v>
      </c>
      <c r="C805" s="10">
        <v>46041.409126567902</v>
      </c>
      <c r="D805" s="1" t="s">
        <v>16</v>
      </c>
      <c r="E805" s="1">
        <v>11.92</v>
      </c>
    </row>
    <row r="806" spans="1:5">
      <c r="A806" s="1" t="s">
        <v>1095</v>
      </c>
      <c r="B806" s="1" t="s">
        <v>565</v>
      </c>
      <c r="C806" s="10">
        <v>45986.409126567902</v>
      </c>
      <c r="D806" s="1" t="s">
        <v>50</v>
      </c>
      <c r="E806" s="1">
        <v>5.1100000000000003</v>
      </c>
    </row>
    <row r="807" spans="1:5">
      <c r="A807" s="1" t="s">
        <v>1096</v>
      </c>
      <c r="B807" s="1" t="s">
        <v>287</v>
      </c>
      <c r="C807" s="10">
        <v>46016.409126567902</v>
      </c>
      <c r="D807" s="1" t="s">
        <v>29</v>
      </c>
      <c r="E807" s="1">
        <v>21.9</v>
      </c>
    </row>
    <row r="808" spans="1:5">
      <c r="A808" s="1" t="s">
        <v>1097</v>
      </c>
      <c r="B808" s="1" t="s">
        <v>1012</v>
      </c>
      <c r="C808" s="10">
        <v>46068.409126567902</v>
      </c>
      <c r="D808" s="1" t="s">
        <v>16</v>
      </c>
      <c r="E808" s="1">
        <v>10.33</v>
      </c>
    </row>
    <row r="809" spans="1:5">
      <c r="A809" s="1" t="s">
        <v>1098</v>
      </c>
      <c r="B809" s="1" t="s">
        <v>555</v>
      </c>
      <c r="C809" s="10">
        <v>46220.409126567902</v>
      </c>
      <c r="D809" s="1" t="s">
        <v>50</v>
      </c>
      <c r="E809" s="1">
        <v>4.41</v>
      </c>
    </row>
    <row r="810" spans="1:5">
      <c r="A810" s="1" t="s">
        <v>1099</v>
      </c>
      <c r="B810" s="1" t="s">
        <v>268</v>
      </c>
      <c r="C810" s="10">
        <v>46073.409126567902</v>
      </c>
      <c r="D810" s="1" t="s">
        <v>13</v>
      </c>
      <c r="E810" s="1">
        <v>12.09</v>
      </c>
    </row>
    <row r="811" spans="1:5">
      <c r="A811" s="1" t="s">
        <v>1100</v>
      </c>
      <c r="B811" s="1" t="s">
        <v>28</v>
      </c>
      <c r="C811" s="10">
        <v>46119.409126567902</v>
      </c>
      <c r="D811" s="1" t="s">
        <v>13</v>
      </c>
      <c r="E811" s="1">
        <v>9.9600000000000009</v>
      </c>
    </row>
    <row r="812" spans="1:5">
      <c r="A812" s="1" t="s">
        <v>1101</v>
      </c>
      <c r="B812" s="1" t="s">
        <v>213</v>
      </c>
      <c r="C812" s="10">
        <v>46265.409126567902</v>
      </c>
      <c r="D812" s="1" t="s">
        <v>13</v>
      </c>
      <c r="E812" s="1">
        <v>12.51</v>
      </c>
    </row>
    <row r="813" spans="1:5">
      <c r="A813" s="1" t="s">
        <v>1102</v>
      </c>
      <c r="B813" s="1" t="s">
        <v>411</v>
      </c>
      <c r="C813" s="10">
        <v>46208.409126567902</v>
      </c>
      <c r="D813" s="1" t="s">
        <v>13</v>
      </c>
      <c r="E813" s="1">
        <v>12.08</v>
      </c>
    </row>
    <row r="814" spans="1:5">
      <c r="A814" s="1" t="s">
        <v>1103</v>
      </c>
      <c r="B814" s="1" t="s">
        <v>183</v>
      </c>
      <c r="C814" s="10">
        <v>46275.409126567902</v>
      </c>
      <c r="D814" s="1" t="s">
        <v>29</v>
      </c>
      <c r="E814" s="1">
        <v>27.4</v>
      </c>
    </row>
    <row r="815" spans="1:5">
      <c r="A815" s="1" t="s">
        <v>1104</v>
      </c>
      <c r="B815" s="1" t="s">
        <v>281</v>
      </c>
      <c r="C815" s="10">
        <v>46004.409126567902</v>
      </c>
      <c r="D815" s="1" t="s">
        <v>10</v>
      </c>
      <c r="E815" s="1">
        <v>15.78</v>
      </c>
    </row>
    <row r="816" spans="1:5">
      <c r="A816" s="1" t="s">
        <v>1105</v>
      </c>
      <c r="B816" s="1" t="s">
        <v>56</v>
      </c>
      <c r="C816" s="10">
        <v>45969.409126567902</v>
      </c>
      <c r="D816" s="1" t="s">
        <v>50</v>
      </c>
      <c r="E816" s="1">
        <v>5.0999999999999996</v>
      </c>
    </row>
    <row r="817" spans="1:5">
      <c r="A817" s="1" t="s">
        <v>1106</v>
      </c>
      <c r="B817" s="1" t="s">
        <v>409</v>
      </c>
      <c r="C817" s="10">
        <v>46197.409126567902</v>
      </c>
      <c r="D817" s="1" t="s">
        <v>29</v>
      </c>
      <c r="E817" s="1">
        <v>26.9</v>
      </c>
    </row>
    <row r="818" spans="1:5">
      <c r="A818" s="1" t="s">
        <v>1107</v>
      </c>
      <c r="B818" s="1" t="s">
        <v>54</v>
      </c>
      <c r="C818" s="10">
        <v>45988.409126567902</v>
      </c>
      <c r="D818" s="1" t="s">
        <v>13</v>
      </c>
      <c r="E818" s="1">
        <v>10.29</v>
      </c>
    </row>
    <row r="819" spans="1:5">
      <c r="A819" s="1" t="s">
        <v>1108</v>
      </c>
      <c r="B819" s="1" t="s">
        <v>120</v>
      </c>
      <c r="C819" s="10">
        <v>46140.409126567902</v>
      </c>
      <c r="D819" s="1" t="s">
        <v>10</v>
      </c>
      <c r="E819" s="1">
        <v>15.57</v>
      </c>
    </row>
    <row r="820" spans="1:5">
      <c r="A820" s="1" t="s">
        <v>1109</v>
      </c>
      <c r="B820" s="1" t="s">
        <v>642</v>
      </c>
      <c r="C820" s="10">
        <v>46061.409126567902</v>
      </c>
      <c r="D820" s="1" t="s">
        <v>16</v>
      </c>
      <c r="E820" s="1">
        <v>8.69</v>
      </c>
    </row>
    <row r="821" spans="1:5">
      <c r="A821" s="1" t="s">
        <v>1110</v>
      </c>
      <c r="B821" s="1" t="s">
        <v>429</v>
      </c>
      <c r="C821" s="10">
        <v>46170.409126567902</v>
      </c>
      <c r="D821" s="1" t="s">
        <v>16</v>
      </c>
      <c r="E821" s="1">
        <v>11.7</v>
      </c>
    </row>
    <row r="822" spans="1:5">
      <c r="A822" s="1" t="s">
        <v>1111</v>
      </c>
      <c r="B822" s="1" t="s">
        <v>9</v>
      </c>
      <c r="C822" s="10">
        <v>45978.409126567902</v>
      </c>
      <c r="D822" s="1" t="s">
        <v>16</v>
      </c>
      <c r="E822" s="1">
        <v>8.27</v>
      </c>
    </row>
    <row r="823" spans="1:5">
      <c r="A823" s="1" t="s">
        <v>1112</v>
      </c>
      <c r="B823" s="1" t="s">
        <v>100</v>
      </c>
      <c r="C823" s="10">
        <v>46175.409126567902</v>
      </c>
      <c r="D823" s="1" t="s">
        <v>13</v>
      </c>
      <c r="E823" s="1">
        <v>11.67</v>
      </c>
    </row>
    <row r="824" spans="1:5">
      <c r="A824" s="1" t="s">
        <v>1113</v>
      </c>
      <c r="B824" s="1" t="s">
        <v>793</v>
      </c>
      <c r="C824" s="10">
        <v>46046.409126567902</v>
      </c>
      <c r="D824" s="1" t="s">
        <v>16</v>
      </c>
      <c r="E824" s="1">
        <v>10.78</v>
      </c>
    </row>
    <row r="825" spans="1:5">
      <c r="A825" s="1" t="s">
        <v>1114</v>
      </c>
      <c r="B825" s="1" t="s">
        <v>560</v>
      </c>
      <c r="C825" s="10">
        <v>46184.409126567902</v>
      </c>
      <c r="D825" s="1" t="s">
        <v>7</v>
      </c>
      <c r="E825" s="1">
        <v>39.33</v>
      </c>
    </row>
    <row r="826" spans="1:5">
      <c r="A826" s="1" t="s">
        <v>1115</v>
      </c>
      <c r="B826" s="1" t="s">
        <v>1082</v>
      </c>
      <c r="C826" s="10">
        <v>46086.409126567902</v>
      </c>
      <c r="D826" s="1" t="s">
        <v>50</v>
      </c>
      <c r="E826" s="1">
        <v>4.18</v>
      </c>
    </row>
    <row r="827" spans="1:5">
      <c r="A827" s="1" t="s">
        <v>1116</v>
      </c>
      <c r="B827" s="1" t="s">
        <v>502</v>
      </c>
      <c r="C827" s="10">
        <v>46118.409126567902</v>
      </c>
      <c r="D827" s="1" t="s">
        <v>50</v>
      </c>
      <c r="E827" s="1">
        <v>5.1100000000000003</v>
      </c>
    </row>
    <row r="828" spans="1:5">
      <c r="A828" s="1" t="s">
        <v>1117</v>
      </c>
      <c r="B828" s="1" t="s">
        <v>820</v>
      </c>
      <c r="C828" s="10">
        <v>46271.409126567902</v>
      </c>
      <c r="D828" s="1" t="s">
        <v>13</v>
      </c>
      <c r="E828" s="1">
        <v>12.68</v>
      </c>
    </row>
    <row r="829" spans="1:5">
      <c r="A829" s="1" t="s">
        <v>1118</v>
      </c>
      <c r="B829" s="1" t="s">
        <v>161</v>
      </c>
      <c r="C829" s="10">
        <v>46030.409126567902</v>
      </c>
      <c r="D829" s="1" t="s">
        <v>7</v>
      </c>
      <c r="E829" s="1">
        <v>43.26</v>
      </c>
    </row>
    <row r="830" spans="1:5">
      <c r="A830" s="1" t="s">
        <v>1119</v>
      </c>
      <c r="B830" s="1" t="s">
        <v>268</v>
      </c>
      <c r="C830" s="10">
        <v>45943.409126567902</v>
      </c>
      <c r="D830" s="1" t="s">
        <v>29</v>
      </c>
      <c r="E830" s="1">
        <v>23.73</v>
      </c>
    </row>
    <row r="831" spans="1:5">
      <c r="A831" s="1" t="s">
        <v>1120</v>
      </c>
      <c r="B831" s="1" t="s">
        <v>185</v>
      </c>
      <c r="C831" s="10">
        <v>46295.409126567902</v>
      </c>
      <c r="D831" s="1" t="s">
        <v>29</v>
      </c>
      <c r="E831" s="1">
        <v>25.64</v>
      </c>
    </row>
    <row r="832" spans="1:5">
      <c r="A832" s="1" t="s">
        <v>1121</v>
      </c>
      <c r="B832" s="1" t="s">
        <v>1122</v>
      </c>
      <c r="C832" s="10">
        <v>46119.409126567902</v>
      </c>
      <c r="D832" s="1" t="s">
        <v>16</v>
      </c>
      <c r="E832" s="1">
        <v>9.8000000000000007</v>
      </c>
    </row>
    <row r="833" spans="1:5">
      <c r="A833" s="1" t="s">
        <v>1123</v>
      </c>
      <c r="B833" s="1" t="s">
        <v>544</v>
      </c>
      <c r="C833" s="10">
        <v>46216.409126567902</v>
      </c>
      <c r="D833" s="1" t="s">
        <v>10</v>
      </c>
      <c r="E833" s="1">
        <v>16.03</v>
      </c>
    </row>
    <row r="834" spans="1:5">
      <c r="A834" s="1" t="s">
        <v>1124</v>
      </c>
      <c r="B834" s="1" t="s">
        <v>281</v>
      </c>
      <c r="C834" s="10">
        <v>46130.409126567902</v>
      </c>
      <c r="D834" s="1" t="s">
        <v>29</v>
      </c>
      <c r="E834" s="1">
        <v>25.84</v>
      </c>
    </row>
    <row r="835" spans="1:5">
      <c r="A835" s="1" t="s">
        <v>1125</v>
      </c>
      <c r="B835" s="1" t="s">
        <v>645</v>
      </c>
      <c r="C835" s="10">
        <v>46287.409126567902</v>
      </c>
      <c r="D835" s="1" t="s">
        <v>10</v>
      </c>
      <c r="E835" s="1">
        <v>15.15</v>
      </c>
    </row>
    <row r="836" spans="1:5">
      <c r="A836" s="1" t="s">
        <v>1126</v>
      </c>
      <c r="B836" s="1" t="s">
        <v>118</v>
      </c>
      <c r="C836" s="10">
        <v>46130.409126567902</v>
      </c>
      <c r="D836" s="1" t="s">
        <v>50</v>
      </c>
      <c r="E836" s="1">
        <v>4.5</v>
      </c>
    </row>
    <row r="837" spans="1:5">
      <c r="A837" s="1" t="s">
        <v>1127</v>
      </c>
      <c r="B837" s="1" t="s">
        <v>378</v>
      </c>
      <c r="C837" s="10">
        <v>46090.409126567902</v>
      </c>
      <c r="D837" s="1" t="s">
        <v>10</v>
      </c>
      <c r="E837" s="1">
        <v>12.01</v>
      </c>
    </row>
    <row r="838" spans="1:5">
      <c r="A838" s="1" t="s">
        <v>1128</v>
      </c>
      <c r="B838" s="1" t="s">
        <v>163</v>
      </c>
      <c r="C838" s="10">
        <v>46028.409126567902</v>
      </c>
      <c r="D838" s="1" t="s">
        <v>50</v>
      </c>
      <c r="E838" s="1">
        <v>4.3499999999999996</v>
      </c>
    </row>
    <row r="839" spans="1:5">
      <c r="A839" s="1" t="s">
        <v>1129</v>
      </c>
      <c r="B839" s="1" t="s">
        <v>12</v>
      </c>
      <c r="C839" s="10">
        <v>46095.409126567902</v>
      </c>
      <c r="D839" s="1" t="s">
        <v>7</v>
      </c>
      <c r="E839" s="1">
        <v>33.869999999999997</v>
      </c>
    </row>
    <row r="840" spans="1:5">
      <c r="A840" s="1" t="s">
        <v>1130</v>
      </c>
      <c r="B840" s="1" t="s">
        <v>155</v>
      </c>
      <c r="C840" s="10">
        <v>45996.409126567902</v>
      </c>
      <c r="D840" s="1" t="s">
        <v>7</v>
      </c>
      <c r="E840" s="1">
        <v>39.19</v>
      </c>
    </row>
    <row r="841" spans="1:5">
      <c r="A841" s="1" t="s">
        <v>1131</v>
      </c>
      <c r="B841" s="1" t="s">
        <v>385</v>
      </c>
      <c r="C841" s="10">
        <v>46057.409126567902</v>
      </c>
      <c r="D841" s="1" t="s">
        <v>13</v>
      </c>
      <c r="E841" s="1">
        <v>12.54</v>
      </c>
    </row>
    <row r="842" spans="1:5">
      <c r="A842" s="1" t="s">
        <v>1132</v>
      </c>
      <c r="B842" s="1" t="s">
        <v>1122</v>
      </c>
      <c r="C842" s="10">
        <v>45986.409126567902</v>
      </c>
      <c r="D842" s="1" t="s">
        <v>13</v>
      </c>
      <c r="E842" s="1">
        <v>10.62</v>
      </c>
    </row>
    <row r="843" spans="1:5">
      <c r="A843" s="1" t="s">
        <v>1133</v>
      </c>
      <c r="B843" s="1" t="s">
        <v>405</v>
      </c>
      <c r="C843" s="10">
        <v>46212.409126567902</v>
      </c>
      <c r="D843" s="1" t="s">
        <v>16</v>
      </c>
      <c r="E843" s="1">
        <v>11.76</v>
      </c>
    </row>
    <row r="844" spans="1:5">
      <c r="A844" s="1" t="s">
        <v>1134</v>
      </c>
      <c r="B844" s="1" t="s">
        <v>349</v>
      </c>
      <c r="C844" s="10">
        <v>45940.409126567902</v>
      </c>
      <c r="D844" s="1" t="s">
        <v>29</v>
      </c>
      <c r="E844" s="1">
        <v>20.07</v>
      </c>
    </row>
    <row r="845" spans="1:5">
      <c r="A845" s="1" t="s">
        <v>1135</v>
      </c>
      <c r="B845" s="1" t="s">
        <v>542</v>
      </c>
      <c r="C845" s="10">
        <v>46027.409126567902</v>
      </c>
      <c r="D845" s="1" t="s">
        <v>16</v>
      </c>
      <c r="E845" s="1">
        <v>11.09</v>
      </c>
    </row>
    <row r="846" spans="1:5">
      <c r="A846" s="1" t="s">
        <v>1136</v>
      </c>
      <c r="B846" s="1" t="s">
        <v>334</v>
      </c>
      <c r="C846" s="10">
        <v>46105.409126567902</v>
      </c>
      <c r="D846" s="1" t="s">
        <v>50</v>
      </c>
      <c r="E846" s="1">
        <v>5.25</v>
      </c>
    </row>
    <row r="847" spans="1:5">
      <c r="A847" s="1" t="s">
        <v>1137</v>
      </c>
      <c r="B847" s="1" t="s">
        <v>132</v>
      </c>
      <c r="C847" s="10">
        <v>46252.409126567902</v>
      </c>
      <c r="D847" s="1" t="s">
        <v>16</v>
      </c>
      <c r="E847" s="1">
        <v>9.49</v>
      </c>
    </row>
    <row r="848" spans="1:5">
      <c r="A848" s="1" t="s">
        <v>1138</v>
      </c>
      <c r="B848" s="1" t="s">
        <v>76</v>
      </c>
      <c r="C848" s="10">
        <v>45957.409126567902</v>
      </c>
      <c r="D848" s="1" t="s">
        <v>10</v>
      </c>
      <c r="E848" s="1">
        <v>12.3</v>
      </c>
    </row>
    <row r="849" spans="1:5">
      <c r="A849" s="1" t="s">
        <v>1139</v>
      </c>
      <c r="B849" s="1" t="s">
        <v>147</v>
      </c>
      <c r="C849" s="10">
        <v>46261.409126567902</v>
      </c>
      <c r="D849" s="1" t="s">
        <v>50</v>
      </c>
      <c r="E849" s="1">
        <v>5.25</v>
      </c>
    </row>
    <row r="850" spans="1:5">
      <c r="A850" s="1" t="s">
        <v>1140</v>
      </c>
      <c r="B850" s="1" t="s">
        <v>321</v>
      </c>
      <c r="C850" s="10">
        <v>45936.409126567902</v>
      </c>
      <c r="D850" s="1" t="s">
        <v>13</v>
      </c>
      <c r="E850" s="1">
        <v>11.45</v>
      </c>
    </row>
    <row r="851" spans="1:5">
      <c r="A851" s="1" t="s">
        <v>1141</v>
      </c>
      <c r="B851" s="1" t="s">
        <v>1142</v>
      </c>
      <c r="C851" s="10">
        <v>46068.409126567902</v>
      </c>
      <c r="D851" s="1" t="s">
        <v>7</v>
      </c>
      <c r="E851" s="1">
        <v>46.98</v>
      </c>
    </row>
    <row r="852" spans="1:5">
      <c r="A852" s="1" t="s">
        <v>1143</v>
      </c>
      <c r="B852" s="1" t="s">
        <v>500</v>
      </c>
      <c r="C852" s="10">
        <v>46168.409126567902</v>
      </c>
      <c r="D852" s="1" t="s">
        <v>13</v>
      </c>
      <c r="E852" s="1">
        <v>12.2</v>
      </c>
    </row>
    <row r="853" spans="1:5">
      <c r="A853" s="1" t="s">
        <v>1144</v>
      </c>
      <c r="B853" s="1" t="s">
        <v>409</v>
      </c>
      <c r="C853" s="10">
        <v>45947.409126567902</v>
      </c>
      <c r="D853" s="1" t="s">
        <v>29</v>
      </c>
      <c r="E853" s="1">
        <v>29.4</v>
      </c>
    </row>
    <row r="854" spans="1:5">
      <c r="A854" s="1" t="s">
        <v>1145</v>
      </c>
      <c r="B854" s="1" t="s">
        <v>200</v>
      </c>
      <c r="C854" s="10">
        <v>46281.409126567902</v>
      </c>
      <c r="D854" s="1" t="s">
        <v>50</v>
      </c>
      <c r="E854" s="1">
        <v>4.4400000000000004</v>
      </c>
    </row>
    <row r="855" spans="1:5">
      <c r="A855" s="1" t="s">
        <v>1146</v>
      </c>
      <c r="B855" s="1" t="s">
        <v>327</v>
      </c>
      <c r="C855" s="10">
        <v>45981.409126567902</v>
      </c>
      <c r="D855" s="1" t="s">
        <v>50</v>
      </c>
      <c r="E855" s="1">
        <v>5.45</v>
      </c>
    </row>
    <row r="856" spans="1:5">
      <c r="A856" s="1" t="s">
        <v>1147</v>
      </c>
      <c r="B856" s="1" t="s">
        <v>112</v>
      </c>
      <c r="C856" s="10">
        <v>45969.409126567902</v>
      </c>
      <c r="D856" s="1" t="s">
        <v>10</v>
      </c>
      <c r="E856" s="1">
        <v>15.7</v>
      </c>
    </row>
    <row r="857" spans="1:5">
      <c r="A857" s="1" t="s">
        <v>1148</v>
      </c>
      <c r="B857" s="1" t="s">
        <v>585</v>
      </c>
      <c r="C857" s="10">
        <v>46013.409126567902</v>
      </c>
      <c r="D857" s="1" t="s">
        <v>29</v>
      </c>
      <c r="E857" s="1">
        <v>27.39</v>
      </c>
    </row>
    <row r="858" spans="1:5">
      <c r="A858" s="1" t="s">
        <v>1149</v>
      </c>
      <c r="B858" s="1" t="s">
        <v>167</v>
      </c>
      <c r="C858" s="10">
        <v>46153.409126567902</v>
      </c>
      <c r="D858" s="1" t="s">
        <v>7</v>
      </c>
      <c r="E858" s="1">
        <v>35.43</v>
      </c>
    </row>
    <row r="859" spans="1:5">
      <c r="A859" s="1" t="s">
        <v>1150</v>
      </c>
      <c r="B859" s="1" t="s">
        <v>517</v>
      </c>
      <c r="C859" s="10">
        <v>46236.409126567902</v>
      </c>
      <c r="D859" s="1" t="s">
        <v>50</v>
      </c>
      <c r="E859" s="1">
        <v>5.33</v>
      </c>
    </row>
    <row r="860" spans="1:5">
      <c r="A860" s="1" t="s">
        <v>1151</v>
      </c>
      <c r="B860" s="1" t="s">
        <v>52</v>
      </c>
      <c r="C860" s="10">
        <v>46008.409126567902</v>
      </c>
      <c r="D860" s="1" t="s">
        <v>50</v>
      </c>
      <c r="E860" s="1">
        <v>5</v>
      </c>
    </row>
    <row r="861" spans="1:5">
      <c r="A861" s="1" t="s">
        <v>1152</v>
      </c>
      <c r="B861" s="1" t="s">
        <v>134</v>
      </c>
      <c r="C861" s="10">
        <v>46217.409126567902</v>
      </c>
      <c r="D861" s="1" t="s">
        <v>10</v>
      </c>
      <c r="E861" s="1">
        <v>16.46</v>
      </c>
    </row>
    <row r="862" spans="1:5">
      <c r="A862" s="1" t="s">
        <v>1153</v>
      </c>
      <c r="B862" s="1" t="s">
        <v>56</v>
      </c>
      <c r="C862" s="10">
        <v>46184.409126567902</v>
      </c>
      <c r="D862" s="1" t="s">
        <v>16</v>
      </c>
      <c r="E862" s="1">
        <v>9.31</v>
      </c>
    </row>
    <row r="863" spans="1:5">
      <c r="A863" s="1" t="s">
        <v>1154</v>
      </c>
      <c r="B863" s="1" t="s">
        <v>389</v>
      </c>
      <c r="C863" s="10">
        <v>45982.409126567902</v>
      </c>
      <c r="D863" s="1" t="s">
        <v>7</v>
      </c>
      <c r="E863" s="1">
        <v>46.24</v>
      </c>
    </row>
    <row r="864" spans="1:5">
      <c r="A864" s="1" t="s">
        <v>1155</v>
      </c>
      <c r="B864" s="1" t="s">
        <v>221</v>
      </c>
      <c r="C864" s="10">
        <v>46056.409126567902</v>
      </c>
      <c r="D864" s="1" t="s">
        <v>13</v>
      </c>
      <c r="E864" s="1">
        <v>10</v>
      </c>
    </row>
    <row r="865" spans="1:5">
      <c r="A865" s="1" t="s">
        <v>1156</v>
      </c>
      <c r="B865" s="1" t="s">
        <v>657</v>
      </c>
      <c r="C865" s="10">
        <v>46149.409126567902</v>
      </c>
      <c r="D865" s="1" t="s">
        <v>29</v>
      </c>
      <c r="E865" s="1">
        <v>28.07</v>
      </c>
    </row>
    <row r="866" spans="1:5">
      <c r="A866" s="1" t="s">
        <v>1157</v>
      </c>
      <c r="B866" s="1" t="s">
        <v>420</v>
      </c>
      <c r="C866" s="10">
        <v>46174.409126567902</v>
      </c>
      <c r="D866" s="1" t="s">
        <v>50</v>
      </c>
      <c r="E866" s="1">
        <v>5.72</v>
      </c>
    </row>
    <row r="867" spans="1:5">
      <c r="A867" s="1" t="s">
        <v>1158</v>
      </c>
      <c r="B867" s="1" t="s">
        <v>45</v>
      </c>
      <c r="C867" s="10">
        <v>45991.409126567902</v>
      </c>
      <c r="D867" s="1" t="s">
        <v>50</v>
      </c>
      <c r="E867" s="1">
        <v>5.63</v>
      </c>
    </row>
    <row r="868" spans="1:5">
      <c r="A868" s="1" t="s">
        <v>1159</v>
      </c>
      <c r="B868" s="1" t="s">
        <v>258</v>
      </c>
      <c r="C868" s="10">
        <v>46285.409126567902</v>
      </c>
      <c r="D868" s="1" t="s">
        <v>13</v>
      </c>
      <c r="E868" s="1">
        <v>12.06</v>
      </c>
    </row>
    <row r="869" spans="1:5">
      <c r="A869" s="1" t="s">
        <v>1160</v>
      </c>
      <c r="B869" s="1" t="s">
        <v>1019</v>
      </c>
      <c r="C869" s="10">
        <v>46042.409126567902</v>
      </c>
      <c r="D869" s="1" t="s">
        <v>7</v>
      </c>
      <c r="E869" s="1">
        <v>39.01</v>
      </c>
    </row>
    <row r="870" spans="1:5">
      <c r="A870" s="1" t="s">
        <v>1161</v>
      </c>
      <c r="B870" s="1" t="s">
        <v>823</v>
      </c>
      <c r="C870" s="10">
        <v>46254.409126567902</v>
      </c>
      <c r="D870" s="1" t="s">
        <v>16</v>
      </c>
      <c r="E870" s="1">
        <v>11.99</v>
      </c>
    </row>
    <row r="871" spans="1:5">
      <c r="A871" s="1" t="s">
        <v>1162</v>
      </c>
      <c r="B871" s="1" t="s">
        <v>106</v>
      </c>
      <c r="C871" s="10">
        <v>45983.409126567902</v>
      </c>
      <c r="D871" s="1" t="s">
        <v>50</v>
      </c>
      <c r="E871" s="1">
        <v>4.46</v>
      </c>
    </row>
    <row r="872" spans="1:5">
      <c r="A872" s="1" t="s">
        <v>1163</v>
      </c>
      <c r="B872" s="1" t="s">
        <v>537</v>
      </c>
      <c r="C872" s="10">
        <v>45996.409126567902</v>
      </c>
      <c r="D872" s="1" t="s">
        <v>7</v>
      </c>
      <c r="E872" s="1">
        <v>40.75</v>
      </c>
    </row>
    <row r="873" spans="1:5">
      <c r="A873" s="1" t="s">
        <v>1164</v>
      </c>
      <c r="B873" s="1" t="s">
        <v>9</v>
      </c>
      <c r="C873" s="10">
        <v>46272.409126567902</v>
      </c>
      <c r="D873" s="1" t="s">
        <v>13</v>
      </c>
      <c r="E873" s="1">
        <v>12.82</v>
      </c>
    </row>
    <row r="874" spans="1:5">
      <c r="A874" s="1" t="s">
        <v>1165</v>
      </c>
      <c r="B874" s="1" t="s">
        <v>767</v>
      </c>
      <c r="C874" s="10">
        <v>45961.409126567902</v>
      </c>
      <c r="D874" s="1" t="s">
        <v>10</v>
      </c>
      <c r="E874" s="1">
        <v>16.21</v>
      </c>
    </row>
    <row r="875" spans="1:5">
      <c r="A875" s="1" t="s">
        <v>1166</v>
      </c>
      <c r="B875" s="1" t="s">
        <v>84</v>
      </c>
      <c r="C875" s="10">
        <v>46227.409126567902</v>
      </c>
      <c r="D875" s="1" t="s">
        <v>16</v>
      </c>
      <c r="E875" s="1">
        <v>8.82</v>
      </c>
    </row>
    <row r="876" spans="1:5">
      <c r="A876" s="1" t="s">
        <v>1167</v>
      </c>
      <c r="B876" s="1" t="s">
        <v>601</v>
      </c>
      <c r="C876" s="10">
        <v>46192.409126567902</v>
      </c>
      <c r="D876" s="1" t="s">
        <v>29</v>
      </c>
      <c r="E876" s="1">
        <v>26.54</v>
      </c>
    </row>
    <row r="877" spans="1:5">
      <c r="A877" s="1" t="s">
        <v>1168</v>
      </c>
      <c r="B877" s="1" t="s">
        <v>633</v>
      </c>
      <c r="C877" s="10">
        <v>45943.409126567902</v>
      </c>
      <c r="D877" s="1" t="s">
        <v>50</v>
      </c>
      <c r="E877" s="1">
        <v>5.64</v>
      </c>
    </row>
    <row r="878" spans="1:5">
      <c r="A878" s="1" t="s">
        <v>1169</v>
      </c>
      <c r="B878" s="1" t="s">
        <v>537</v>
      </c>
      <c r="C878" s="10">
        <v>46048.409126567902</v>
      </c>
      <c r="D878" s="1" t="s">
        <v>7</v>
      </c>
      <c r="E878" s="1">
        <v>32.799999999999997</v>
      </c>
    </row>
    <row r="879" spans="1:5">
      <c r="A879" s="1" t="s">
        <v>1170</v>
      </c>
      <c r="B879" s="1" t="s">
        <v>642</v>
      </c>
      <c r="C879" s="10">
        <v>46290.409126567902</v>
      </c>
      <c r="D879" s="1" t="s">
        <v>10</v>
      </c>
      <c r="E879" s="1">
        <v>17.47</v>
      </c>
    </row>
    <row r="880" spans="1:5">
      <c r="A880" s="1" t="s">
        <v>1171</v>
      </c>
      <c r="B880" s="1" t="s">
        <v>795</v>
      </c>
      <c r="C880" s="10">
        <v>46188.409126567902</v>
      </c>
      <c r="D880" s="1" t="s">
        <v>29</v>
      </c>
      <c r="E880" s="1">
        <v>20.3</v>
      </c>
    </row>
    <row r="881" spans="1:5">
      <c r="A881" s="1" t="s">
        <v>1172</v>
      </c>
      <c r="B881" s="1" t="s">
        <v>157</v>
      </c>
      <c r="C881" s="10">
        <v>46115.409126567902</v>
      </c>
      <c r="D881" s="1" t="s">
        <v>7</v>
      </c>
      <c r="E881" s="1">
        <v>37.700000000000003</v>
      </c>
    </row>
    <row r="882" spans="1:5">
      <c r="A882" s="1" t="s">
        <v>1173</v>
      </c>
      <c r="B882" s="1" t="s">
        <v>460</v>
      </c>
      <c r="C882" s="10">
        <v>46142.409126567902</v>
      </c>
      <c r="D882" s="1" t="s">
        <v>7</v>
      </c>
      <c r="E882" s="1">
        <v>32.25</v>
      </c>
    </row>
    <row r="883" spans="1:5">
      <c r="A883" s="1" t="s">
        <v>1174</v>
      </c>
      <c r="B883" s="1" t="s">
        <v>558</v>
      </c>
      <c r="C883" s="10">
        <v>46238.409126567902</v>
      </c>
      <c r="D883" s="1" t="s">
        <v>29</v>
      </c>
      <c r="E883" s="1">
        <v>20.77</v>
      </c>
    </row>
    <row r="884" spans="1:5">
      <c r="A884" s="1" t="s">
        <v>1175</v>
      </c>
      <c r="B884" s="1" t="s">
        <v>82</v>
      </c>
      <c r="C884" s="10">
        <v>46062.409126567902</v>
      </c>
      <c r="D884" s="1" t="s">
        <v>10</v>
      </c>
      <c r="E884" s="1">
        <v>17.47</v>
      </c>
    </row>
    <row r="885" spans="1:5">
      <c r="A885" s="1" t="s">
        <v>1176</v>
      </c>
      <c r="B885" s="1" t="s">
        <v>558</v>
      </c>
      <c r="C885" s="10">
        <v>45991.409126567902</v>
      </c>
      <c r="D885" s="1" t="s">
        <v>13</v>
      </c>
      <c r="E885" s="1">
        <v>11.3</v>
      </c>
    </row>
    <row r="886" spans="1:5">
      <c r="A886" s="1" t="s">
        <v>1177</v>
      </c>
      <c r="B886" s="1" t="s">
        <v>315</v>
      </c>
      <c r="C886" s="10">
        <v>46149.409126567902</v>
      </c>
      <c r="D886" s="1" t="s">
        <v>10</v>
      </c>
      <c r="E886" s="1">
        <v>14.55</v>
      </c>
    </row>
    <row r="887" spans="1:5">
      <c r="A887" s="1" t="s">
        <v>1178</v>
      </c>
      <c r="B887" s="1" t="s">
        <v>398</v>
      </c>
      <c r="C887" s="10">
        <v>45949.409126567902</v>
      </c>
      <c r="D887" s="1" t="s">
        <v>16</v>
      </c>
      <c r="E887" s="1">
        <v>8.86</v>
      </c>
    </row>
    <row r="888" spans="1:5">
      <c r="A888" s="1" t="s">
        <v>1179</v>
      </c>
      <c r="B888" s="1" t="s">
        <v>1180</v>
      </c>
      <c r="C888" s="10">
        <v>45963.409126567902</v>
      </c>
      <c r="D888" s="1" t="s">
        <v>50</v>
      </c>
      <c r="E888" s="1">
        <v>5.19</v>
      </c>
    </row>
    <row r="889" spans="1:5">
      <c r="A889" s="1" t="s">
        <v>1181</v>
      </c>
      <c r="B889" s="1" t="s">
        <v>542</v>
      </c>
      <c r="C889" s="10">
        <v>46013.409126567902</v>
      </c>
      <c r="D889" s="1" t="s">
        <v>29</v>
      </c>
      <c r="E889" s="1">
        <v>25.95</v>
      </c>
    </row>
    <row r="890" spans="1:5">
      <c r="A890" s="1" t="s">
        <v>1182</v>
      </c>
      <c r="B890" s="1" t="s">
        <v>84</v>
      </c>
      <c r="C890" s="10">
        <v>46151.409126567902</v>
      </c>
      <c r="D890" s="1" t="s">
        <v>13</v>
      </c>
      <c r="E890" s="1">
        <v>11.39</v>
      </c>
    </row>
    <row r="891" spans="1:5">
      <c r="A891" s="1" t="s">
        <v>1183</v>
      </c>
      <c r="B891" s="1" t="s">
        <v>72</v>
      </c>
      <c r="C891" s="10">
        <v>46300.409126567902</v>
      </c>
      <c r="D891" s="1" t="s">
        <v>29</v>
      </c>
      <c r="E891" s="1">
        <v>23.33</v>
      </c>
    </row>
    <row r="892" spans="1:5">
      <c r="A892" s="1" t="s">
        <v>1184</v>
      </c>
      <c r="B892" s="1" t="s">
        <v>108</v>
      </c>
      <c r="C892" s="10">
        <v>46089.409126567902</v>
      </c>
      <c r="D892" s="1" t="s">
        <v>29</v>
      </c>
      <c r="E892" s="1">
        <v>28.85</v>
      </c>
    </row>
    <row r="893" spans="1:5">
      <c r="A893" s="1" t="s">
        <v>1185</v>
      </c>
      <c r="B893" s="1" t="s">
        <v>652</v>
      </c>
      <c r="C893" s="10">
        <v>45949.409126567902</v>
      </c>
      <c r="D893" s="1" t="s">
        <v>10</v>
      </c>
      <c r="E893" s="1">
        <v>14.3</v>
      </c>
    </row>
    <row r="894" spans="1:5">
      <c r="A894" s="1" t="s">
        <v>1186</v>
      </c>
      <c r="B894" s="1" t="s">
        <v>52</v>
      </c>
      <c r="C894" s="10">
        <v>46122.409126567902</v>
      </c>
      <c r="D894" s="1" t="s">
        <v>50</v>
      </c>
      <c r="E894" s="1">
        <v>4.99</v>
      </c>
    </row>
    <row r="895" spans="1:5">
      <c r="A895" s="1" t="s">
        <v>1187</v>
      </c>
      <c r="B895" s="1" t="s">
        <v>592</v>
      </c>
      <c r="C895" s="10">
        <v>46247.409126567902</v>
      </c>
      <c r="D895" s="1" t="s">
        <v>16</v>
      </c>
      <c r="E895" s="1">
        <v>9.1300000000000008</v>
      </c>
    </row>
    <row r="896" spans="1:5">
      <c r="A896" s="1" t="s">
        <v>1188</v>
      </c>
      <c r="B896" s="1" t="s">
        <v>108</v>
      </c>
      <c r="C896" s="10">
        <v>45942.409126567902</v>
      </c>
      <c r="D896" s="1" t="s">
        <v>7</v>
      </c>
      <c r="E896" s="1">
        <v>44.59</v>
      </c>
    </row>
    <row r="897" spans="1:5">
      <c r="A897" s="1" t="s">
        <v>1189</v>
      </c>
      <c r="B897" s="1" t="s">
        <v>891</v>
      </c>
      <c r="C897" s="10">
        <v>45938.409126567902</v>
      </c>
      <c r="D897" s="1" t="s">
        <v>7</v>
      </c>
      <c r="E897" s="1">
        <v>38.36</v>
      </c>
    </row>
    <row r="898" spans="1:5">
      <c r="A898" s="1" t="s">
        <v>1190</v>
      </c>
      <c r="B898" s="1" t="s">
        <v>300</v>
      </c>
      <c r="C898" s="10">
        <v>46046.409126567902</v>
      </c>
      <c r="D898" s="1" t="s">
        <v>29</v>
      </c>
      <c r="E898" s="1">
        <v>25.14</v>
      </c>
    </row>
    <row r="899" spans="1:5">
      <c r="A899" s="1" t="s">
        <v>1191</v>
      </c>
      <c r="B899" s="1" t="s">
        <v>70</v>
      </c>
      <c r="C899" s="10">
        <v>46173.409126567902</v>
      </c>
      <c r="D899" s="1" t="s">
        <v>50</v>
      </c>
      <c r="E899" s="1">
        <v>4.51</v>
      </c>
    </row>
    <row r="900" spans="1:5">
      <c r="A900" s="1" t="s">
        <v>1192</v>
      </c>
      <c r="B900" s="1" t="s">
        <v>558</v>
      </c>
      <c r="C900" s="10">
        <v>46298.409126567902</v>
      </c>
      <c r="D900" s="1" t="s">
        <v>13</v>
      </c>
      <c r="E900" s="1">
        <v>14.34</v>
      </c>
    </row>
    <row r="901" spans="1:5">
      <c r="A901" s="1" t="s">
        <v>1193</v>
      </c>
      <c r="B901" s="1" t="s">
        <v>62</v>
      </c>
      <c r="C901" s="10">
        <v>46174.409126567902</v>
      </c>
      <c r="D901" s="1" t="s">
        <v>10</v>
      </c>
      <c r="E901" s="1">
        <v>13.75</v>
      </c>
    </row>
    <row r="902" spans="1:5">
      <c r="A902" s="1" t="s">
        <v>1194</v>
      </c>
      <c r="B902" s="1" t="s">
        <v>236</v>
      </c>
      <c r="C902" s="10">
        <v>46209.409126567902</v>
      </c>
      <c r="D902" s="1" t="s">
        <v>50</v>
      </c>
      <c r="E902" s="1">
        <v>5.54</v>
      </c>
    </row>
    <row r="903" spans="1:5">
      <c r="A903" s="1" t="s">
        <v>1195</v>
      </c>
      <c r="B903" s="1" t="s">
        <v>37</v>
      </c>
      <c r="C903" s="10">
        <v>46229.409126567902</v>
      </c>
      <c r="D903" s="1" t="s">
        <v>50</v>
      </c>
      <c r="E903" s="1">
        <v>4.8499999999999996</v>
      </c>
    </row>
    <row r="904" spans="1:5">
      <c r="A904" s="1" t="s">
        <v>1196</v>
      </c>
      <c r="B904" s="1" t="s">
        <v>655</v>
      </c>
      <c r="C904" s="10">
        <v>46162.409126567902</v>
      </c>
      <c r="D904" s="1" t="s">
        <v>10</v>
      </c>
      <c r="E904" s="1">
        <v>13.24</v>
      </c>
    </row>
    <row r="905" spans="1:5">
      <c r="A905" s="1" t="s">
        <v>1197</v>
      </c>
      <c r="B905" s="1" t="s">
        <v>387</v>
      </c>
      <c r="C905" s="10">
        <v>45950.409126567902</v>
      </c>
      <c r="D905" s="1" t="s">
        <v>29</v>
      </c>
      <c r="E905" s="1">
        <v>28</v>
      </c>
    </row>
    <row r="906" spans="1:5">
      <c r="A906" s="1" t="s">
        <v>1198</v>
      </c>
      <c r="B906" s="1" t="s">
        <v>183</v>
      </c>
      <c r="C906" s="10">
        <v>46127.409126567902</v>
      </c>
      <c r="D906" s="1" t="s">
        <v>50</v>
      </c>
      <c r="E906" s="1">
        <v>4.67</v>
      </c>
    </row>
    <row r="907" spans="1:5">
      <c r="A907" s="1" t="s">
        <v>1199</v>
      </c>
      <c r="B907" s="1" t="s">
        <v>248</v>
      </c>
      <c r="C907" s="10">
        <v>46054.409126567902</v>
      </c>
      <c r="D907" s="1" t="s">
        <v>7</v>
      </c>
      <c r="E907" s="1">
        <v>45.84</v>
      </c>
    </row>
    <row r="908" spans="1:5">
      <c r="A908" s="1" t="s">
        <v>1200</v>
      </c>
      <c r="B908" s="1" t="s">
        <v>995</v>
      </c>
      <c r="C908" s="10">
        <v>45963.409126567902</v>
      </c>
      <c r="D908" s="1" t="s">
        <v>10</v>
      </c>
      <c r="E908" s="1">
        <v>17.489999999999998</v>
      </c>
    </row>
    <row r="909" spans="1:5">
      <c r="A909" s="1" t="s">
        <v>1201</v>
      </c>
      <c r="B909" s="1" t="s">
        <v>250</v>
      </c>
      <c r="C909" s="10">
        <v>46137.409126567902</v>
      </c>
      <c r="D909" s="1" t="s">
        <v>13</v>
      </c>
      <c r="E909" s="1">
        <v>13.73</v>
      </c>
    </row>
    <row r="910" spans="1:5">
      <c r="A910" s="1" t="s">
        <v>1202</v>
      </c>
      <c r="B910" s="1" t="s">
        <v>110</v>
      </c>
      <c r="C910" s="10">
        <v>45974.409126567902</v>
      </c>
      <c r="D910" s="1" t="s">
        <v>16</v>
      </c>
      <c r="E910" s="1">
        <v>8.14</v>
      </c>
    </row>
    <row r="911" spans="1:5">
      <c r="A911" s="1" t="s">
        <v>1203</v>
      </c>
      <c r="B911" s="1" t="s">
        <v>560</v>
      </c>
      <c r="C911" s="10">
        <v>46208.409126567902</v>
      </c>
      <c r="D911" s="1" t="s">
        <v>29</v>
      </c>
      <c r="E911" s="1">
        <v>27.87</v>
      </c>
    </row>
    <row r="912" spans="1:5">
      <c r="A912" s="1" t="s">
        <v>1204</v>
      </c>
      <c r="B912" s="1" t="s">
        <v>211</v>
      </c>
      <c r="C912" s="10">
        <v>46166.409126567902</v>
      </c>
      <c r="D912" s="1" t="s">
        <v>10</v>
      </c>
      <c r="E912" s="1">
        <v>14.47</v>
      </c>
    </row>
    <row r="913" spans="1:5">
      <c r="A913" s="1" t="s">
        <v>1205</v>
      </c>
      <c r="B913" s="1" t="s">
        <v>213</v>
      </c>
      <c r="C913" s="10">
        <v>46021.409126567902</v>
      </c>
      <c r="D913" s="1" t="s">
        <v>16</v>
      </c>
      <c r="E913" s="1">
        <v>11.49</v>
      </c>
    </row>
    <row r="914" spans="1:5">
      <c r="A914" s="1" t="s">
        <v>1206</v>
      </c>
      <c r="B914" s="1" t="s">
        <v>1000</v>
      </c>
      <c r="C914" s="10">
        <v>46061.409126567902</v>
      </c>
      <c r="D914" s="1" t="s">
        <v>16</v>
      </c>
      <c r="E914" s="1">
        <v>10.55</v>
      </c>
    </row>
    <row r="915" spans="1:5">
      <c r="A915" s="1" t="s">
        <v>1207</v>
      </c>
      <c r="B915" s="1" t="s">
        <v>159</v>
      </c>
      <c r="C915" s="10">
        <v>46235.409126567902</v>
      </c>
      <c r="D915" s="1" t="s">
        <v>13</v>
      </c>
      <c r="E915" s="1">
        <v>13.6</v>
      </c>
    </row>
    <row r="916" spans="1:5">
      <c r="A916" s="1" t="s">
        <v>1208</v>
      </c>
      <c r="B916" s="1" t="s">
        <v>856</v>
      </c>
      <c r="C916" s="10">
        <v>45960.409126567902</v>
      </c>
      <c r="D916" s="1" t="s">
        <v>50</v>
      </c>
      <c r="E916" s="1">
        <v>5</v>
      </c>
    </row>
    <row r="917" spans="1:5">
      <c r="A917" s="1" t="s">
        <v>1209</v>
      </c>
      <c r="B917" s="1" t="s">
        <v>1210</v>
      </c>
      <c r="C917" s="10">
        <v>46080.409126567902</v>
      </c>
      <c r="D917" s="1" t="s">
        <v>13</v>
      </c>
      <c r="E917" s="1">
        <v>12.17</v>
      </c>
    </row>
    <row r="918" spans="1:5">
      <c r="A918" s="1" t="s">
        <v>1211</v>
      </c>
      <c r="B918" s="1" t="s">
        <v>870</v>
      </c>
      <c r="C918" s="10">
        <v>45948.409126567902</v>
      </c>
      <c r="D918" s="1" t="s">
        <v>50</v>
      </c>
      <c r="E918" s="1">
        <v>4.29</v>
      </c>
    </row>
    <row r="919" spans="1:5">
      <c r="A919" s="1" t="s">
        <v>1212</v>
      </c>
      <c r="B919" s="1" t="s">
        <v>687</v>
      </c>
      <c r="C919" s="10">
        <v>46147.409126567902</v>
      </c>
      <c r="D919" s="1" t="s">
        <v>50</v>
      </c>
      <c r="E919" s="1">
        <v>5.57</v>
      </c>
    </row>
    <row r="920" spans="1:5">
      <c r="A920" s="1" t="s">
        <v>1213</v>
      </c>
      <c r="B920" s="1" t="s">
        <v>248</v>
      </c>
      <c r="C920" s="10">
        <v>45960.409126567902</v>
      </c>
      <c r="D920" s="1" t="s">
        <v>10</v>
      </c>
      <c r="E920" s="1">
        <v>14.52</v>
      </c>
    </row>
    <row r="921" spans="1:5">
      <c r="A921" s="1" t="s">
        <v>1214</v>
      </c>
      <c r="B921" s="1" t="s">
        <v>736</v>
      </c>
      <c r="C921" s="10">
        <v>46003.409126567902</v>
      </c>
      <c r="D921" s="1" t="s">
        <v>10</v>
      </c>
      <c r="E921" s="1">
        <v>15</v>
      </c>
    </row>
    <row r="922" spans="1:5">
      <c r="A922" s="1" t="s">
        <v>1215</v>
      </c>
      <c r="B922" s="1" t="s">
        <v>444</v>
      </c>
      <c r="C922" s="10">
        <v>46002.409126567902</v>
      </c>
      <c r="D922" s="1" t="s">
        <v>29</v>
      </c>
      <c r="E922" s="1">
        <v>27.85</v>
      </c>
    </row>
    <row r="923" spans="1:5">
      <c r="A923" s="1" t="s">
        <v>1216</v>
      </c>
      <c r="B923" s="1" t="s">
        <v>181</v>
      </c>
      <c r="C923" s="10">
        <v>46168.409126567902</v>
      </c>
      <c r="D923" s="1" t="s">
        <v>50</v>
      </c>
      <c r="E923" s="1">
        <v>5.2</v>
      </c>
    </row>
    <row r="924" spans="1:5">
      <c r="A924" s="1" t="s">
        <v>1217</v>
      </c>
      <c r="B924" s="1" t="s">
        <v>1218</v>
      </c>
      <c r="C924" s="10">
        <v>46044.409126567902</v>
      </c>
      <c r="D924" s="1" t="s">
        <v>16</v>
      </c>
      <c r="E924" s="1">
        <v>8.8000000000000007</v>
      </c>
    </row>
    <row r="925" spans="1:5">
      <c r="A925" s="1" t="s">
        <v>1219</v>
      </c>
      <c r="B925" s="1" t="s">
        <v>223</v>
      </c>
      <c r="C925" s="10">
        <v>46081.409126567902</v>
      </c>
      <c r="D925" s="1" t="s">
        <v>7</v>
      </c>
      <c r="E925" s="1">
        <v>41.44</v>
      </c>
    </row>
    <row r="926" spans="1:5">
      <c r="A926" s="1" t="s">
        <v>1220</v>
      </c>
      <c r="B926" s="1" t="s">
        <v>856</v>
      </c>
      <c r="C926" s="10">
        <v>46046.409126567902</v>
      </c>
      <c r="D926" s="1" t="s">
        <v>29</v>
      </c>
      <c r="E926" s="1">
        <v>24.08</v>
      </c>
    </row>
    <row r="927" spans="1:5">
      <c r="A927" s="1" t="s">
        <v>1221</v>
      </c>
      <c r="B927" s="1" t="s">
        <v>922</v>
      </c>
      <c r="C927" s="10">
        <v>46163.409126567902</v>
      </c>
      <c r="D927" s="1" t="s">
        <v>10</v>
      </c>
      <c r="E927" s="1">
        <v>14.82</v>
      </c>
    </row>
    <row r="928" spans="1:5">
      <c r="A928" s="1" t="s">
        <v>1222</v>
      </c>
      <c r="B928" s="1" t="s">
        <v>202</v>
      </c>
      <c r="C928" s="10">
        <v>46046.409126567902</v>
      </c>
      <c r="D928" s="1" t="s">
        <v>13</v>
      </c>
      <c r="E928" s="1">
        <v>9.74</v>
      </c>
    </row>
    <row r="929" spans="1:5">
      <c r="A929" s="1" t="s">
        <v>1223</v>
      </c>
      <c r="B929" s="1" t="s">
        <v>562</v>
      </c>
      <c r="C929" s="10">
        <v>45969.409126567902</v>
      </c>
      <c r="D929" s="1" t="s">
        <v>29</v>
      </c>
      <c r="E929" s="1">
        <v>22.1</v>
      </c>
    </row>
    <row r="930" spans="1:5">
      <c r="A930" s="1" t="s">
        <v>1224</v>
      </c>
      <c r="B930" s="1" t="s">
        <v>1142</v>
      </c>
      <c r="C930" s="10">
        <v>46046.409126567902</v>
      </c>
      <c r="D930" s="1" t="s">
        <v>29</v>
      </c>
      <c r="E930" s="1">
        <v>22.81</v>
      </c>
    </row>
    <row r="931" spans="1:5">
      <c r="A931" s="1" t="s">
        <v>1225</v>
      </c>
      <c r="B931" s="1" t="s">
        <v>677</v>
      </c>
      <c r="C931" s="10">
        <v>46199.409126567902</v>
      </c>
      <c r="D931" s="1" t="s">
        <v>29</v>
      </c>
      <c r="E931" s="1">
        <v>27.13</v>
      </c>
    </row>
    <row r="932" spans="1:5">
      <c r="A932" s="1" t="s">
        <v>1226</v>
      </c>
      <c r="B932" s="1" t="s">
        <v>479</v>
      </c>
      <c r="C932" s="10">
        <v>46171.409126567902</v>
      </c>
      <c r="D932" s="1" t="s">
        <v>29</v>
      </c>
      <c r="E932" s="1">
        <v>20.11</v>
      </c>
    </row>
    <row r="933" spans="1:5">
      <c r="A933" s="1" t="s">
        <v>1227</v>
      </c>
      <c r="B933" s="1" t="s">
        <v>132</v>
      </c>
      <c r="C933" s="10">
        <v>46018.409126567902</v>
      </c>
      <c r="D933" s="1" t="s">
        <v>7</v>
      </c>
      <c r="E933" s="1">
        <v>38.54</v>
      </c>
    </row>
    <row r="934" spans="1:5">
      <c r="A934" s="1" t="s">
        <v>1228</v>
      </c>
      <c r="B934" s="1" t="s">
        <v>359</v>
      </c>
      <c r="C934" s="10">
        <v>45977.409126567902</v>
      </c>
      <c r="D934" s="1" t="s">
        <v>13</v>
      </c>
      <c r="E934" s="1">
        <v>14.04</v>
      </c>
    </row>
    <row r="935" spans="1:5">
      <c r="A935" s="1" t="s">
        <v>1229</v>
      </c>
      <c r="B935" s="1" t="s">
        <v>287</v>
      </c>
      <c r="C935" s="10">
        <v>46036.409126567902</v>
      </c>
      <c r="D935" s="1" t="s">
        <v>13</v>
      </c>
      <c r="E935" s="1">
        <v>10.14</v>
      </c>
    </row>
    <row r="936" spans="1:5">
      <c r="A936" s="1" t="s">
        <v>1230</v>
      </c>
      <c r="B936" s="1" t="s">
        <v>70</v>
      </c>
      <c r="C936" s="10">
        <v>45941.409126567902</v>
      </c>
      <c r="D936" s="1" t="s">
        <v>13</v>
      </c>
      <c r="E936" s="1">
        <v>12.08</v>
      </c>
    </row>
    <row r="937" spans="1:5">
      <c r="A937" s="1" t="s">
        <v>1231</v>
      </c>
      <c r="B937" s="1" t="s">
        <v>167</v>
      </c>
      <c r="C937" s="10">
        <v>46115.409126567902</v>
      </c>
      <c r="D937" s="1" t="s">
        <v>50</v>
      </c>
      <c r="E937" s="1">
        <v>5.57</v>
      </c>
    </row>
    <row r="938" spans="1:5">
      <c r="A938" s="1" t="s">
        <v>1232</v>
      </c>
      <c r="B938" s="1" t="s">
        <v>313</v>
      </c>
      <c r="C938" s="10">
        <v>46217.409126567902</v>
      </c>
      <c r="D938" s="1" t="s">
        <v>16</v>
      </c>
      <c r="E938" s="1">
        <v>11.77</v>
      </c>
    </row>
    <row r="939" spans="1:5">
      <c r="A939" s="1" t="s">
        <v>1233</v>
      </c>
      <c r="B939" s="1" t="s">
        <v>217</v>
      </c>
      <c r="C939" s="10">
        <v>46255.409126567902</v>
      </c>
      <c r="D939" s="1" t="s">
        <v>13</v>
      </c>
      <c r="E939" s="1">
        <v>13.18</v>
      </c>
    </row>
    <row r="940" spans="1:5">
      <c r="A940" s="1" t="s">
        <v>1234</v>
      </c>
      <c r="B940" s="1" t="s">
        <v>309</v>
      </c>
      <c r="C940" s="10">
        <v>46161.409126567902</v>
      </c>
      <c r="D940" s="1" t="s">
        <v>29</v>
      </c>
      <c r="E940" s="1">
        <v>27.21</v>
      </c>
    </row>
    <row r="941" spans="1:5">
      <c r="A941" s="1" t="s">
        <v>1235</v>
      </c>
      <c r="B941" s="1" t="s">
        <v>465</v>
      </c>
      <c r="C941" s="10">
        <v>46250.409126567902</v>
      </c>
      <c r="D941" s="1" t="s">
        <v>29</v>
      </c>
      <c r="E941" s="1">
        <v>28.26</v>
      </c>
    </row>
    <row r="942" spans="1:5">
      <c r="A942" s="1" t="s">
        <v>1236</v>
      </c>
      <c r="B942" s="1" t="s">
        <v>400</v>
      </c>
      <c r="C942" s="10">
        <v>46300.409126567902</v>
      </c>
      <c r="D942" s="1" t="s">
        <v>13</v>
      </c>
      <c r="E942" s="1">
        <v>11.74</v>
      </c>
    </row>
    <row r="943" spans="1:5">
      <c r="A943" s="1" t="s">
        <v>1237</v>
      </c>
      <c r="B943" s="1" t="s">
        <v>795</v>
      </c>
      <c r="C943" s="10">
        <v>46164.409126567902</v>
      </c>
      <c r="D943" s="1" t="s">
        <v>13</v>
      </c>
      <c r="E943" s="1">
        <v>13.47</v>
      </c>
    </row>
    <row r="944" spans="1:5">
      <c r="A944" s="1" t="s">
        <v>1238</v>
      </c>
      <c r="B944" s="1" t="s">
        <v>82</v>
      </c>
      <c r="C944" s="10">
        <v>46224.409126567902</v>
      </c>
      <c r="D944" s="1" t="s">
        <v>29</v>
      </c>
      <c r="E944" s="1">
        <v>20.079999999999998</v>
      </c>
    </row>
    <row r="945" spans="1:5">
      <c r="A945" s="1" t="s">
        <v>1239</v>
      </c>
      <c r="B945" s="1" t="s">
        <v>258</v>
      </c>
      <c r="C945" s="10">
        <v>46085.409126567902</v>
      </c>
      <c r="D945" s="1" t="s">
        <v>50</v>
      </c>
      <c r="E945" s="1">
        <v>5.85</v>
      </c>
    </row>
    <row r="946" spans="1:5">
      <c r="A946" s="1" t="s">
        <v>1240</v>
      </c>
      <c r="B946" s="1" t="s">
        <v>382</v>
      </c>
      <c r="C946" s="10">
        <v>46212.409126567902</v>
      </c>
      <c r="D946" s="1" t="s">
        <v>10</v>
      </c>
      <c r="E946" s="1">
        <v>14.66</v>
      </c>
    </row>
    <row r="947" spans="1:5">
      <c r="A947" s="1" t="s">
        <v>1241</v>
      </c>
      <c r="B947" s="1" t="s">
        <v>555</v>
      </c>
      <c r="C947" s="10">
        <v>46133.409126567902</v>
      </c>
      <c r="D947" s="1" t="s">
        <v>10</v>
      </c>
      <c r="E947" s="1">
        <v>15.32</v>
      </c>
    </row>
    <row r="948" spans="1:5">
      <c r="A948" s="1" t="s">
        <v>1242</v>
      </c>
      <c r="B948" s="1" t="s">
        <v>811</v>
      </c>
      <c r="C948" s="10">
        <v>46005.409126567902</v>
      </c>
      <c r="D948" s="1" t="s">
        <v>13</v>
      </c>
      <c r="E948" s="1">
        <v>10.82</v>
      </c>
    </row>
    <row r="949" spans="1:5">
      <c r="A949" s="1" t="s">
        <v>1243</v>
      </c>
      <c r="B949" s="1" t="s">
        <v>118</v>
      </c>
      <c r="C949" s="10">
        <v>46047.409126567902</v>
      </c>
      <c r="D949" s="1" t="s">
        <v>7</v>
      </c>
      <c r="E949" s="1">
        <v>43.88</v>
      </c>
    </row>
    <row r="950" spans="1:5">
      <c r="A950" s="1" t="s">
        <v>1244</v>
      </c>
      <c r="B950" s="1" t="s">
        <v>157</v>
      </c>
      <c r="C950" s="10">
        <v>45939.409126567902</v>
      </c>
      <c r="D950" s="1" t="s">
        <v>13</v>
      </c>
      <c r="E950" s="1">
        <v>9.9700000000000006</v>
      </c>
    </row>
    <row r="951" spans="1:5">
      <c r="A951" s="1" t="s">
        <v>1245</v>
      </c>
      <c r="B951" s="1" t="s">
        <v>1246</v>
      </c>
      <c r="C951" s="10">
        <v>46285.409126567902</v>
      </c>
      <c r="D951" s="1" t="s">
        <v>13</v>
      </c>
      <c r="E951" s="1">
        <v>13.79</v>
      </c>
    </row>
    <row r="952" spans="1:5">
      <c r="A952" s="1" t="s">
        <v>1247</v>
      </c>
      <c r="B952" s="1" t="s">
        <v>691</v>
      </c>
      <c r="C952" s="10">
        <v>46266.409126567902</v>
      </c>
      <c r="D952" s="1" t="s">
        <v>10</v>
      </c>
      <c r="E952" s="1">
        <v>16.97</v>
      </c>
    </row>
    <row r="953" spans="1:5">
      <c r="A953" s="1" t="s">
        <v>1248</v>
      </c>
      <c r="B953" s="1" t="s">
        <v>1052</v>
      </c>
      <c r="C953" s="10">
        <v>46253.409126567902</v>
      </c>
      <c r="D953" s="1" t="s">
        <v>29</v>
      </c>
      <c r="E953" s="1">
        <v>22.16</v>
      </c>
    </row>
    <row r="954" spans="1:5">
      <c r="A954" s="1" t="s">
        <v>1249</v>
      </c>
      <c r="B954" s="1" t="s">
        <v>393</v>
      </c>
      <c r="C954" s="10">
        <v>46285.409126567902</v>
      </c>
      <c r="D954" s="1" t="s">
        <v>13</v>
      </c>
      <c r="E954" s="1">
        <v>13.48</v>
      </c>
    </row>
    <row r="955" spans="1:5">
      <c r="A955" s="1" t="s">
        <v>1250</v>
      </c>
      <c r="B955" s="1" t="s">
        <v>31</v>
      </c>
      <c r="C955" s="10">
        <v>46030.409126567902</v>
      </c>
      <c r="D955" s="1" t="s">
        <v>29</v>
      </c>
      <c r="E955" s="1">
        <v>27.86</v>
      </c>
    </row>
    <row r="956" spans="1:5">
      <c r="A956" s="1" t="s">
        <v>1251</v>
      </c>
      <c r="B956" s="1" t="s">
        <v>382</v>
      </c>
      <c r="C956" s="10">
        <v>46087.409126567902</v>
      </c>
      <c r="D956" s="1" t="s">
        <v>29</v>
      </c>
      <c r="E956" s="1">
        <v>26.32</v>
      </c>
    </row>
    <row r="957" spans="1:5">
      <c r="A957" s="1" t="s">
        <v>1252</v>
      </c>
      <c r="B957" s="1" t="s">
        <v>22</v>
      </c>
      <c r="C957" s="10">
        <v>46246.409126567902</v>
      </c>
      <c r="D957" s="1" t="s">
        <v>7</v>
      </c>
      <c r="E957" s="1">
        <v>37.979999999999997</v>
      </c>
    </row>
    <row r="958" spans="1:5">
      <c r="A958" s="1" t="s">
        <v>1253</v>
      </c>
      <c r="B958" s="1" t="s">
        <v>173</v>
      </c>
      <c r="C958" s="10">
        <v>46072.409126567902</v>
      </c>
      <c r="D958" s="1" t="s">
        <v>29</v>
      </c>
      <c r="E958" s="1">
        <v>22.71</v>
      </c>
    </row>
    <row r="959" spans="1:5">
      <c r="A959" s="1" t="s">
        <v>1254</v>
      </c>
      <c r="B959" s="1" t="s">
        <v>171</v>
      </c>
      <c r="C959" s="10">
        <v>46182.409126567902</v>
      </c>
      <c r="D959" s="1" t="s">
        <v>10</v>
      </c>
      <c r="E959" s="1">
        <v>13.39</v>
      </c>
    </row>
    <row r="960" spans="1:5">
      <c r="A960" s="1" t="s">
        <v>1255</v>
      </c>
      <c r="B960" s="1" t="s">
        <v>202</v>
      </c>
      <c r="C960" s="10">
        <v>46178.409126567902</v>
      </c>
      <c r="D960" s="1" t="s">
        <v>50</v>
      </c>
      <c r="E960" s="1">
        <v>4.6399999999999997</v>
      </c>
    </row>
    <row r="961" spans="1:5">
      <c r="A961" s="1" t="s">
        <v>1256</v>
      </c>
      <c r="B961" s="1" t="s">
        <v>153</v>
      </c>
      <c r="C961" s="10">
        <v>45966.409126567902</v>
      </c>
      <c r="D961" s="1" t="s">
        <v>50</v>
      </c>
      <c r="E961" s="1">
        <v>5.81</v>
      </c>
    </row>
    <row r="962" spans="1:5">
      <c r="A962" s="1" t="s">
        <v>1257</v>
      </c>
      <c r="B962" s="1" t="s">
        <v>922</v>
      </c>
      <c r="C962" s="10">
        <v>45975.409126567902</v>
      </c>
      <c r="D962" s="1" t="s">
        <v>16</v>
      </c>
      <c r="E962" s="1">
        <v>8.31</v>
      </c>
    </row>
    <row r="963" spans="1:5">
      <c r="A963" s="1" t="s">
        <v>1258</v>
      </c>
      <c r="B963" s="1" t="s">
        <v>230</v>
      </c>
      <c r="C963" s="10">
        <v>46164.409126567902</v>
      </c>
      <c r="D963" s="1" t="s">
        <v>13</v>
      </c>
      <c r="E963" s="1">
        <v>13.58</v>
      </c>
    </row>
    <row r="964" spans="1:5">
      <c r="A964" s="1" t="s">
        <v>1259</v>
      </c>
      <c r="B964" s="1" t="s">
        <v>1019</v>
      </c>
      <c r="C964" s="10">
        <v>45971.409126567902</v>
      </c>
      <c r="D964" s="1" t="s">
        <v>10</v>
      </c>
      <c r="E964" s="1">
        <v>14.09</v>
      </c>
    </row>
    <row r="965" spans="1:5">
      <c r="A965" s="1" t="s">
        <v>1260</v>
      </c>
      <c r="B965" s="1" t="s">
        <v>585</v>
      </c>
      <c r="C965" s="10">
        <v>46158.409126567902</v>
      </c>
      <c r="D965" s="1" t="s">
        <v>29</v>
      </c>
      <c r="E965" s="1">
        <v>25.22</v>
      </c>
    </row>
    <row r="966" spans="1:5">
      <c r="A966" s="1" t="s">
        <v>1261</v>
      </c>
      <c r="B966" s="1" t="s">
        <v>439</v>
      </c>
      <c r="C966" s="10">
        <v>45941.409126567902</v>
      </c>
      <c r="D966" s="1" t="s">
        <v>50</v>
      </c>
      <c r="E966" s="1">
        <v>5.59</v>
      </c>
    </row>
    <row r="967" spans="1:5">
      <c r="A967" s="1" t="s">
        <v>1262</v>
      </c>
      <c r="B967" s="1" t="s">
        <v>856</v>
      </c>
      <c r="C967" s="10">
        <v>46257.409126567902</v>
      </c>
      <c r="D967" s="1" t="s">
        <v>10</v>
      </c>
      <c r="E967" s="1">
        <v>17.309999999999999</v>
      </c>
    </row>
    <row r="968" spans="1:5">
      <c r="A968" s="1" t="s">
        <v>1263</v>
      </c>
      <c r="B968" s="1" t="s">
        <v>15</v>
      </c>
      <c r="C968" s="10">
        <v>46155.409126567902</v>
      </c>
      <c r="D968" s="1" t="s">
        <v>50</v>
      </c>
      <c r="E968" s="1">
        <v>4.6900000000000004</v>
      </c>
    </row>
    <row r="969" spans="1:5">
      <c r="A969" s="1" t="s">
        <v>1264</v>
      </c>
      <c r="B969" s="1" t="s">
        <v>1089</v>
      </c>
      <c r="C969" s="10">
        <v>46010.409126567902</v>
      </c>
      <c r="D969" s="1" t="s">
        <v>29</v>
      </c>
      <c r="E969" s="1">
        <v>24.62</v>
      </c>
    </row>
    <row r="970" spans="1:5">
      <c r="A970" s="1" t="s">
        <v>1265</v>
      </c>
      <c r="B970" s="1" t="s">
        <v>102</v>
      </c>
      <c r="C970" s="10">
        <v>45939.409126567902</v>
      </c>
      <c r="D970" s="1" t="s">
        <v>50</v>
      </c>
      <c r="E970" s="1">
        <v>4.83</v>
      </c>
    </row>
    <row r="971" spans="1:5">
      <c r="A971" s="1" t="s">
        <v>1266</v>
      </c>
      <c r="B971" s="1" t="s">
        <v>628</v>
      </c>
      <c r="C971" s="10">
        <v>46270.409126567902</v>
      </c>
      <c r="D971" s="1" t="s">
        <v>13</v>
      </c>
      <c r="E971" s="1">
        <v>9.66</v>
      </c>
    </row>
    <row r="972" spans="1:5">
      <c r="A972" s="1" t="s">
        <v>1267</v>
      </c>
      <c r="B972" s="1" t="s">
        <v>682</v>
      </c>
      <c r="C972" s="10">
        <v>46069.409126567902</v>
      </c>
      <c r="D972" s="1" t="s">
        <v>13</v>
      </c>
      <c r="E972" s="1">
        <v>11.02</v>
      </c>
    </row>
    <row r="973" spans="1:5">
      <c r="A973" s="1" t="s">
        <v>1268</v>
      </c>
      <c r="B973" s="1" t="s">
        <v>272</v>
      </c>
      <c r="C973" s="10">
        <v>46053.409126567902</v>
      </c>
      <c r="D973" s="1" t="s">
        <v>16</v>
      </c>
      <c r="E973" s="1">
        <v>9.84</v>
      </c>
    </row>
    <row r="974" spans="1:5">
      <c r="A974" s="1" t="s">
        <v>1269</v>
      </c>
      <c r="B974" s="1" t="s">
        <v>885</v>
      </c>
      <c r="C974" s="10">
        <v>46029.409126567902</v>
      </c>
      <c r="D974" s="1" t="s">
        <v>16</v>
      </c>
      <c r="E974" s="1">
        <v>9.64</v>
      </c>
    </row>
    <row r="975" spans="1:5">
      <c r="A975" s="1" t="s">
        <v>1270</v>
      </c>
      <c r="B975" s="1" t="s">
        <v>289</v>
      </c>
      <c r="C975" s="10">
        <v>45997.409126567902</v>
      </c>
      <c r="D975" s="1" t="s">
        <v>50</v>
      </c>
      <c r="E975" s="1">
        <v>5.44</v>
      </c>
    </row>
    <row r="976" spans="1:5">
      <c r="A976" s="1" t="s">
        <v>1271</v>
      </c>
      <c r="B976" s="1" t="s">
        <v>250</v>
      </c>
      <c r="C976" s="10">
        <v>46129.409126567902</v>
      </c>
      <c r="D976" s="1" t="s">
        <v>10</v>
      </c>
      <c r="E976" s="1">
        <v>14.31</v>
      </c>
    </row>
    <row r="977" spans="1:5">
      <c r="A977" s="1" t="s">
        <v>1272</v>
      </c>
      <c r="B977" s="1" t="s">
        <v>213</v>
      </c>
      <c r="C977" s="10">
        <v>46270.409126567902</v>
      </c>
      <c r="D977" s="1" t="s">
        <v>13</v>
      </c>
      <c r="E977" s="1">
        <v>11.95</v>
      </c>
    </row>
    <row r="978" spans="1:5">
      <c r="A978" s="1" t="s">
        <v>1273</v>
      </c>
      <c r="B978" s="1" t="s">
        <v>719</v>
      </c>
      <c r="C978" s="10">
        <v>46138.409126567902</v>
      </c>
      <c r="D978" s="1" t="s">
        <v>10</v>
      </c>
      <c r="E978" s="1">
        <v>14.58</v>
      </c>
    </row>
    <row r="979" spans="1:5">
      <c r="A979" s="1" t="s">
        <v>1274</v>
      </c>
      <c r="B979" s="1" t="s">
        <v>898</v>
      </c>
      <c r="C979" s="10">
        <v>45961.409126567902</v>
      </c>
      <c r="D979" s="1" t="s">
        <v>10</v>
      </c>
      <c r="E979" s="1">
        <v>16.440000000000001</v>
      </c>
    </row>
    <row r="980" spans="1:5">
      <c r="A980" s="1" t="s">
        <v>1275</v>
      </c>
      <c r="B980" s="1" t="s">
        <v>272</v>
      </c>
      <c r="C980" s="10">
        <v>46108.409126567902</v>
      </c>
      <c r="D980" s="1" t="s">
        <v>50</v>
      </c>
      <c r="E980" s="1">
        <v>5.73</v>
      </c>
    </row>
    <row r="981" spans="1:5">
      <c r="A981" s="1" t="s">
        <v>1276</v>
      </c>
      <c r="B981" s="1" t="s">
        <v>315</v>
      </c>
      <c r="C981" s="10">
        <v>46235.409126567902</v>
      </c>
      <c r="D981" s="1" t="s">
        <v>10</v>
      </c>
      <c r="E981" s="1">
        <v>15.19</v>
      </c>
    </row>
    <row r="982" spans="1:5">
      <c r="A982" s="1" t="s">
        <v>1277</v>
      </c>
      <c r="B982" s="1" t="s">
        <v>1047</v>
      </c>
      <c r="C982" s="10">
        <v>46068.409126567902</v>
      </c>
      <c r="D982" s="1" t="s">
        <v>13</v>
      </c>
      <c r="E982" s="1">
        <v>13.39</v>
      </c>
    </row>
    <row r="983" spans="1:5">
      <c r="A983" s="1" t="s">
        <v>1278</v>
      </c>
      <c r="B983" s="1" t="s">
        <v>60</v>
      </c>
      <c r="C983" s="10">
        <v>46261.409126567902</v>
      </c>
      <c r="D983" s="1" t="s">
        <v>29</v>
      </c>
      <c r="E983" s="1">
        <v>22.97</v>
      </c>
    </row>
    <row r="984" spans="1:5">
      <c r="A984" s="1" t="s">
        <v>1279</v>
      </c>
      <c r="B984" s="1" t="s">
        <v>1280</v>
      </c>
      <c r="C984" s="10">
        <v>46053.409126567902</v>
      </c>
      <c r="D984" s="1" t="s">
        <v>16</v>
      </c>
      <c r="E984" s="1">
        <v>10.17</v>
      </c>
    </row>
    <row r="985" spans="1:5">
      <c r="A985" s="1" t="s">
        <v>1281</v>
      </c>
      <c r="B985" s="1" t="s">
        <v>246</v>
      </c>
      <c r="C985" s="10">
        <v>46259.409126567902</v>
      </c>
      <c r="D985" s="1" t="s">
        <v>29</v>
      </c>
      <c r="E985" s="1">
        <v>23.45</v>
      </c>
    </row>
    <row r="986" spans="1:5">
      <c r="A986" s="1" t="s">
        <v>1282</v>
      </c>
      <c r="B986" s="1" t="s">
        <v>465</v>
      </c>
      <c r="C986" s="10">
        <v>46210.409126567902</v>
      </c>
      <c r="D986" s="1" t="s">
        <v>10</v>
      </c>
      <c r="E986" s="1">
        <v>14.49</v>
      </c>
    </row>
    <row r="987" spans="1:5">
      <c r="A987" s="1" t="s">
        <v>1283</v>
      </c>
      <c r="B987" s="1" t="s">
        <v>511</v>
      </c>
      <c r="C987" s="10">
        <v>46147.409126567902</v>
      </c>
      <c r="D987" s="1" t="s">
        <v>29</v>
      </c>
      <c r="E987" s="1">
        <v>27.32</v>
      </c>
    </row>
    <row r="988" spans="1:5">
      <c r="A988" s="1" t="s">
        <v>1284</v>
      </c>
      <c r="B988" s="1" t="s">
        <v>820</v>
      </c>
      <c r="C988" s="10">
        <v>46160.409126567902</v>
      </c>
      <c r="D988" s="1" t="s">
        <v>13</v>
      </c>
      <c r="E988" s="1">
        <v>13.83</v>
      </c>
    </row>
    <row r="989" spans="1:5">
      <c r="A989" s="1" t="s">
        <v>1285</v>
      </c>
      <c r="B989" s="1" t="s">
        <v>45</v>
      </c>
      <c r="C989" s="10">
        <v>45955.409126567902</v>
      </c>
      <c r="D989" s="1" t="s">
        <v>13</v>
      </c>
      <c r="E989" s="1">
        <v>10.18</v>
      </c>
    </row>
    <row r="990" spans="1:5">
      <c r="A990" s="1" t="s">
        <v>1286</v>
      </c>
      <c r="B990" s="1" t="s">
        <v>321</v>
      </c>
      <c r="C990" s="10">
        <v>46048.409126567902</v>
      </c>
      <c r="D990" s="1" t="s">
        <v>10</v>
      </c>
      <c r="E990" s="1">
        <v>15.81</v>
      </c>
    </row>
    <row r="991" spans="1:5">
      <c r="A991" s="1" t="s">
        <v>1287</v>
      </c>
      <c r="B991" s="1" t="s">
        <v>289</v>
      </c>
      <c r="C991" s="10">
        <v>46075.409126567902</v>
      </c>
      <c r="D991" s="1" t="s">
        <v>50</v>
      </c>
      <c r="E991" s="1">
        <v>5.16</v>
      </c>
    </row>
    <row r="992" spans="1:5">
      <c r="A992" s="1" t="s">
        <v>1288</v>
      </c>
      <c r="B992" s="1" t="s">
        <v>555</v>
      </c>
      <c r="C992" s="10">
        <v>45982.409126567902</v>
      </c>
      <c r="D992" s="1" t="s">
        <v>29</v>
      </c>
      <c r="E992" s="1">
        <v>21.18</v>
      </c>
    </row>
    <row r="993" spans="1:5">
      <c r="A993" s="1" t="s">
        <v>1289</v>
      </c>
      <c r="B993" s="1" t="s">
        <v>418</v>
      </c>
      <c r="C993" s="10">
        <v>45936.409126567902</v>
      </c>
      <c r="D993" s="1" t="s">
        <v>50</v>
      </c>
      <c r="E993" s="1">
        <v>4.42</v>
      </c>
    </row>
    <row r="994" spans="1:5">
      <c r="A994" s="1" t="s">
        <v>1290</v>
      </c>
      <c r="B994" s="1" t="s">
        <v>9</v>
      </c>
      <c r="C994" s="10">
        <v>46025.409126567902</v>
      </c>
      <c r="D994" s="1" t="s">
        <v>50</v>
      </c>
      <c r="E994" s="1">
        <v>4.62</v>
      </c>
    </row>
    <row r="995" spans="1:5">
      <c r="A995" s="1" t="s">
        <v>1291</v>
      </c>
      <c r="B995" s="1" t="s">
        <v>409</v>
      </c>
      <c r="C995" s="10">
        <v>46077.409126567902</v>
      </c>
      <c r="D995" s="1" t="s">
        <v>7</v>
      </c>
      <c r="E995" s="1">
        <v>34.67</v>
      </c>
    </row>
    <row r="996" spans="1:5">
      <c r="A996" s="1" t="s">
        <v>1292</v>
      </c>
      <c r="B996" s="1" t="s">
        <v>243</v>
      </c>
      <c r="C996" s="10">
        <v>46255.409126567902</v>
      </c>
      <c r="D996" s="1" t="s">
        <v>10</v>
      </c>
      <c r="E996" s="1">
        <v>13.46</v>
      </c>
    </row>
    <row r="997" spans="1:5">
      <c r="A997" s="1" t="s">
        <v>1293</v>
      </c>
      <c r="B997" s="1" t="s">
        <v>284</v>
      </c>
      <c r="C997" s="10">
        <v>45973.409126567902</v>
      </c>
      <c r="D997" s="1" t="s">
        <v>16</v>
      </c>
      <c r="E997" s="1">
        <v>9.07</v>
      </c>
    </row>
    <row r="998" spans="1:5">
      <c r="A998" s="1" t="s">
        <v>1294</v>
      </c>
      <c r="B998" s="1" t="s">
        <v>213</v>
      </c>
      <c r="C998" s="10">
        <v>46228.409126567902</v>
      </c>
      <c r="D998" s="1" t="s">
        <v>13</v>
      </c>
      <c r="E998" s="1">
        <v>11.21</v>
      </c>
    </row>
    <row r="999" spans="1:5">
      <c r="A999" s="1" t="s">
        <v>1295</v>
      </c>
      <c r="B999" s="1" t="s">
        <v>108</v>
      </c>
      <c r="C999" s="10">
        <v>46074.409126567902</v>
      </c>
      <c r="D999" s="1" t="s">
        <v>13</v>
      </c>
      <c r="E999" s="1">
        <v>13.2</v>
      </c>
    </row>
    <row r="1000" spans="1:5">
      <c r="A1000" s="1" t="s">
        <v>1296</v>
      </c>
      <c r="B1000" s="1" t="s">
        <v>713</v>
      </c>
      <c r="C1000" s="10">
        <v>46291.409126567902</v>
      </c>
      <c r="D1000" s="1" t="s">
        <v>10</v>
      </c>
      <c r="E1000" s="1">
        <v>15.43</v>
      </c>
    </row>
    <row r="1001" spans="1:5">
      <c r="A1001" s="1" t="s">
        <v>1297</v>
      </c>
      <c r="B1001" s="1" t="s">
        <v>192</v>
      </c>
      <c r="C1001" s="10">
        <v>46268.409126567902</v>
      </c>
      <c r="D1001" s="1" t="s">
        <v>16</v>
      </c>
      <c r="E1001" s="1">
        <v>11.94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12"/>
  <sheetViews>
    <sheetView workbookViewId="0">
      <selection activeCell="A3" sqref="A3"/>
    </sheetView>
  </sheetViews>
  <sheetFormatPr defaultColWidth="8.7265625" defaultRowHeight="14"/>
  <cols>
    <col min="1" max="1" width="62.81640625" style="1" customWidth="1"/>
    <col min="2" max="16384" width="8.7265625" style="1"/>
  </cols>
  <sheetData>
    <row r="2" spans="1:1">
      <c r="A2" s="16" t="s">
        <v>1324</v>
      </c>
    </row>
    <row r="3" spans="1:1" ht="153" customHeight="1">
      <c r="A3" s="2" t="s">
        <v>1332</v>
      </c>
    </row>
    <row r="6" spans="1:1" ht="14.5">
      <c r="A6"/>
    </row>
    <row r="7" spans="1:1" ht="14.5">
      <c r="A7"/>
    </row>
    <row r="8" spans="1:1" ht="14.5">
      <c r="A8"/>
    </row>
    <row r="9" spans="1:1" ht="14.5">
      <c r="A9"/>
    </row>
    <row r="10" spans="1:1" ht="14.5">
      <c r="A10"/>
    </row>
    <row r="11" spans="1:1" ht="14.5">
      <c r="A11"/>
    </row>
    <row r="12" spans="1:1" ht="14.5">
      <c r="A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8"/>
  <sheetViews>
    <sheetView topLeftCell="A224" zoomScale="120" zoomScaleNormal="120" workbookViewId="0">
      <selection sqref="A1:J288"/>
    </sheetView>
  </sheetViews>
  <sheetFormatPr defaultColWidth="8.7265625" defaultRowHeight="14"/>
  <cols>
    <col min="1" max="1" width="12.81640625" style="1" customWidth="1"/>
    <col min="2" max="2" width="9.1796875" style="9" customWidth="1"/>
    <col min="3" max="3" width="10.26953125" style="1" customWidth="1"/>
    <col min="4" max="7" width="8.7265625" style="1"/>
    <col min="8" max="8" width="12.6328125" style="1" customWidth="1"/>
    <col min="9" max="16384" width="8.7265625" style="1"/>
  </cols>
  <sheetData>
    <row r="1" spans="1:9">
      <c r="A1" s="1" t="s">
        <v>1298</v>
      </c>
      <c r="B1" s="9" t="s">
        <v>1299</v>
      </c>
      <c r="C1" s="1" t="s">
        <v>1300</v>
      </c>
      <c r="D1" s="1" t="s">
        <v>1301</v>
      </c>
      <c r="E1" s="1" t="s">
        <v>1302</v>
      </c>
      <c r="F1" s="1" t="s">
        <v>1303</v>
      </c>
      <c r="G1" s="1" t="s">
        <v>1304</v>
      </c>
      <c r="H1" s="1" t="s">
        <v>1305</v>
      </c>
      <c r="I1" s="1" t="s">
        <v>1306</v>
      </c>
    </row>
    <row r="2" spans="1:9">
      <c r="A2" s="1" t="s">
        <v>56</v>
      </c>
      <c r="B2" s="9">
        <v>30.590868055602201</v>
      </c>
      <c r="C2" s="1">
        <v>5</v>
      </c>
      <c r="D2" s="4">
        <v>64.5</v>
      </c>
      <c r="E2" s="1" cm="1">
        <f t="array" ref="E2">_xlfn.IFS(B2&lt;=_xlfn.PERCENTILE.INC($B$2:$B$288,0.2),5,B2&lt;=_xlfn.PERCENTILE.INC($B$2:$B$288,0.4),4,B2&lt;=_xlfn.PERCENTILE.INC($B$2:$B$288,0.6),3,B2&lt;=_xlfn.PERCENTILE.INC($B$2:$B$288,0.8),2,TRUE,1)</f>
        <v>4</v>
      </c>
      <c r="F2" s="1" cm="1">
        <f t="array" ref="F2">_xlfn.IFS(C2&gt;=_xlfn.PERCENTILE.INC($C$2:$C$288,0.8),5,C2&gt;=_xlfn.PERCENTILE.INC($C$2:$C$288,0.6),4,C2&gt;=_xlfn.PERCENTILE.INC($C$2:$C$288,0.4),3,C2&gt;=_xlfn.PERCENTILE.INC($C$2:$C$288,0.2),2,TRUE,1)</f>
        <v>5</v>
      </c>
      <c r="G2" s="1" cm="1">
        <f t="array" ref="G2">_xlfn.IFS(D2&gt;=_xlfn.PERCENTILE.INC($D$2:$D$288,0.8),5,D2&gt;=_xlfn.PERCENTILE.INC($D$2:$D$288,0.6),4,D2&gt;=_xlfn.PERCENTILE.INC($D$2:$D$288,0.4),3,D2&gt;=_xlfn.PERCENTILE.INC($D$2:$D$288,0.2),2,TRUE,1)</f>
        <v>4</v>
      </c>
      <c r="H2" s="1">
        <f>E2+F2+G2</f>
        <v>13</v>
      </c>
      <c r="I2" s="1" t="str" cm="1">
        <f t="array" ref="I2">_xlfn.IFS(H2&gt;=13,"Best Customers",H2&gt;=10,"Loyal Customers",H2&gt;=7,"Potential Loyal Customers",H2&gt;=4,"Need Attention",TRUE,"At Risk")</f>
        <v>Best Customers</v>
      </c>
    </row>
    <row r="3" spans="1:9">
      <c r="A3" s="1" t="s">
        <v>400</v>
      </c>
      <c r="B3" s="9">
        <v>0.59086805560218603</v>
      </c>
      <c r="C3" s="1">
        <v>4</v>
      </c>
      <c r="D3" s="4">
        <v>53.9</v>
      </c>
      <c r="E3" s="1" cm="1">
        <f t="array" ref="E3">_xlfn.IFS(B3&lt;=_xlfn.PERCENTILE.INC($B$2:$B$288,0.2),5,B3&lt;=_xlfn.PERCENTILE.INC($B$2:$B$288,0.4),4,B3&lt;=_xlfn.PERCENTILE.INC($B$2:$B$288,0.6),3,B3&lt;=_xlfn.PERCENTILE.INC($B$2:$B$288,0.8),2,TRUE,1)</f>
        <v>5</v>
      </c>
      <c r="F3" s="1" cm="1">
        <f t="array" ref="F3">_xlfn.IFS(C3&gt;=_xlfn.PERCENTILE.INC($C$2:$C$288,0.8),5,C3&gt;=_xlfn.PERCENTILE.INC($C$2:$C$288,0.6),4,C3&gt;=_xlfn.PERCENTILE.INC($C$2:$C$288,0.4),3,C3&gt;=_xlfn.PERCENTILE.INC($C$2:$C$288,0.2),2,TRUE,1)</f>
        <v>4</v>
      </c>
      <c r="G3" s="1" cm="1">
        <f t="array" ref="G3">_xlfn.IFS(D3&gt;=_xlfn.PERCENTILE.INC($D$2:$D$288,0.8),5,D3&gt;=_xlfn.PERCENTILE.INC($D$2:$D$288,0.6),4,D3&gt;=_xlfn.PERCENTILE.INC($D$2:$D$288,0.4),3,D3&gt;=_xlfn.PERCENTILE.INC($D$2:$D$288,0.2),2,TRUE,1)</f>
        <v>3</v>
      </c>
      <c r="H3" s="1">
        <f t="shared" ref="H3:H66" si="0">E3+F3+G3</f>
        <v>12</v>
      </c>
      <c r="I3" s="1" t="str" cm="1">
        <f t="array" ref="I3">_xlfn.IFS(H3&gt;=13,"Best Customers",H3&gt;=10,"Loyal Customers",H3&gt;=7,"Potential Loyal Customers",H3&gt;=4,"Need Attention",TRUE,"At Risk")</f>
        <v>Loyal Customers</v>
      </c>
    </row>
    <row r="4" spans="1:9">
      <c r="A4" s="1" t="s">
        <v>655</v>
      </c>
      <c r="B4" s="9">
        <v>138.59086805560199</v>
      </c>
      <c r="C4" s="1">
        <v>4</v>
      </c>
      <c r="D4" s="4">
        <v>75.75</v>
      </c>
      <c r="E4" s="1" cm="1">
        <f t="array" ref="E4">_xlfn.IFS(B4&lt;=_xlfn.PERCENTILE.INC($B$2:$B$288,0.2),5,B4&lt;=_xlfn.PERCENTILE.INC($B$2:$B$288,0.4),4,B4&lt;=_xlfn.PERCENTILE.INC($B$2:$B$288,0.6),3,B4&lt;=_xlfn.PERCENTILE.INC($B$2:$B$288,0.8),2,TRUE,1)</f>
        <v>2</v>
      </c>
      <c r="F4" s="1" cm="1">
        <f t="array" ref="F4">_xlfn.IFS(C4&gt;=_xlfn.PERCENTILE.INC($C$2:$C$288,0.8),5,C4&gt;=_xlfn.PERCENTILE.INC($C$2:$C$288,0.6),4,C4&gt;=_xlfn.PERCENTILE.INC($C$2:$C$288,0.4),3,C4&gt;=_xlfn.PERCENTILE.INC($C$2:$C$288,0.2),2,TRUE,1)</f>
        <v>4</v>
      </c>
      <c r="G4" s="1" cm="1">
        <f t="array" ref="G4">_xlfn.IFS(D4&gt;=_xlfn.PERCENTILE.INC($D$2:$D$288,0.8),5,D4&gt;=_xlfn.PERCENTILE.INC($D$2:$D$288,0.6),4,D4&gt;=_xlfn.PERCENTILE.INC($D$2:$D$288,0.4),3,D4&gt;=_xlfn.PERCENTILE.INC($D$2:$D$288,0.2),2,TRUE,1)</f>
        <v>4</v>
      </c>
      <c r="H4" s="1">
        <f t="shared" si="0"/>
        <v>10</v>
      </c>
      <c r="I4" s="1" t="str" cm="1">
        <f t="array" ref="I4">_xlfn.IFS(H4&gt;=13,"Best Customers",H4&gt;=10,"Loyal Customers",H4&gt;=7,"Potential Loyal Customers",H4&gt;=4,"Need Attention",TRUE,"At Risk")</f>
        <v>Loyal Customers</v>
      </c>
    </row>
    <row r="5" spans="1:9">
      <c r="A5" s="1" t="s">
        <v>454</v>
      </c>
      <c r="B5" s="9">
        <v>50.590868055602201</v>
      </c>
      <c r="C5" s="1">
        <v>4</v>
      </c>
      <c r="D5" s="4">
        <v>123.07</v>
      </c>
      <c r="E5" s="1" cm="1">
        <f t="array" ref="E5">_xlfn.IFS(B5&lt;=_xlfn.PERCENTILE.INC($B$2:$B$288,0.2),5,B5&lt;=_xlfn.PERCENTILE.INC($B$2:$B$288,0.4),4,B5&lt;=_xlfn.PERCENTILE.INC($B$2:$B$288,0.6),3,B5&lt;=_xlfn.PERCENTILE.INC($B$2:$B$288,0.8),2,TRUE,1)</f>
        <v>4</v>
      </c>
      <c r="F5" s="1" cm="1">
        <f t="array" ref="F5">_xlfn.IFS(C5&gt;=_xlfn.PERCENTILE.INC($C$2:$C$288,0.8),5,C5&gt;=_xlfn.PERCENTILE.INC($C$2:$C$288,0.6),4,C5&gt;=_xlfn.PERCENTILE.INC($C$2:$C$288,0.4),3,C5&gt;=_xlfn.PERCENTILE.INC($C$2:$C$288,0.2),2,TRUE,1)</f>
        <v>4</v>
      </c>
      <c r="G5" s="1" cm="1">
        <f t="array" ref="G5">_xlfn.IFS(D5&gt;=_xlfn.PERCENTILE.INC($D$2:$D$288,0.8),5,D5&gt;=_xlfn.PERCENTILE.INC($D$2:$D$288,0.6),4,D5&gt;=_xlfn.PERCENTILE.INC($D$2:$D$288,0.4),3,D5&gt;=_xlfn.PERCENTILE.INC($D$2:$D$288,0.2),2,TRUE,1)</f>
        <v>5</v>
      </c>
      <c r="H5" s="1">
        <f t="shared" si="0"/>
        <v>13</v>
      </c>
      <c r="I5" s="1" t="str" cm="1">
        <f t="array" ref="I5">_xlfn.IFS(H5&gt;=13,"Best Customers",H5&gt;=10,"Loyal Customers",H5&gt;=7,"Potential Loyal Customers",H5&gt;=4,"Need Attention",TRUE,"At Risk")</f>
        <v>Best Customers</v>
      </c>
    </row>
    <row r="6" spans="1:9">
      <c r="A6" s="1" t="s">
        <v>76</v>
      </c>
      <c r="B6" s="9">
        <v>14.590868055602201</v>
      </c>
      <c r="C6" s="1">
        <v>4</v>
      </c>
      <c r="D6" s="4">
        <v>63.34</v>
      </c>
      <c r="E6" s="1" cm="1">
        <f t="array" ref="E6">_xlfn.IFS(B6&lt;=_xlfn.PERCENTILE.INC($B$2:$B$288,0.2),5,B6&lt;=_xlfn.PERCENTILE.INC($B$2:$B$288,0.4),4,B6&lt;=_xlfn.PERCENTILE.INC($B$2:$B$288,0.6),3,B6&lt;=_xlfn.PERCENTILE.INC($B$2:$B$288,0.8),2,TRUE,1)</f>
        <v>5</v>
      </c>
      <c r="F6" s="1" cm="1">
        <f t="array" ref="F6">_xlfn.IFS(C6&gt;=_xlfn.PERCENTILE.INC($C$2:$C$288,0.8),5,C6&gt;=_xlfn.PERCENTILE.INC($C$2:$C$288,0.6),4,C6&gt;=_xlfn.PERCENTILE.INC($C$2:$C$288,0.4),3,C6&gt;=_xlfn.PERCENTILE.INC($C$2:$C$288,0.2),2,TRUE,1)</f>
        <v>4</v>
      </c>
      <c r="G6" s="1" cm="1">
        <f t="array" ref="G6">_xlfn.IFS(D6&gt;=_xlfn.PERCENTILE.INC($D$2:$D$288,0.8),5,D6&gt;=_xlfn.PERCENTILE.INC($D$2:$D$288,0.6),4,D6&gt;=_xlfn.PERCENTILE.INC($D$2:$D$288,0.4),3,D6&gt;=_xlfn.PERCENTILE.INC($D$2:$D$288,0.2),2,TRUE,1)</f>
        <v>4</v>
      </c>
      <c r="H6" s="1">
        <f t="shared" si="0"/>
        <v>13</v>
      </c>
      <c r="I6" s="1" t="str" cm="1">
        <f t="array" ref="I6">_xlfn.IFS(H6&gt;=13,"Best Customers",H6&gt;=10,"Loyal Customers",H6&gt;=7,"Potential Loyal Customers",H6&gt;=4,"Need Attention",TRUE,"At Risk")</f>
        <v>Best Customers</v>
      </c>
    </row>
    <row r="7" spans="1:9">
      <c r="A7" s="1" t="s">
        <v>380</v>
      </c>
      <c r="B7" s="9">
        <v>142.59086805560199</v>
      </c>
      <c r="C7" s="1">
        <v>5</v>
      </c>
      <c r="D7" s="4">
        <v>104.63</v>
      </c>
      <c r="E7" s="1" cm="1">
        <f t="array" ref="E7">_xlfn.IFS(B7&lt;=_xlfn.PERCENTILE.INC($B$2:$B$288,0.2),5,B7&lt;=_xlfn.PERCENTILE.INC($B$2:$B$288,0.4),4,B7&lt;=_xlfn.PERCENTILE.INC($B$2:$B$288,0.6),3,B7&lt;=_xlfn.PERCENTILE.INC($B$2:$B$288,0.8),2,TRUE,1)</f>
        <v>2</v>
      </c>
      <c r="F7" s="1" cm="1">
        <f t="array" ref="F7">_xlfn.IFS(C7&gt;=_xlfn.PERCENTILE.INC($C$2:$C$288,0.8),5,C7&gt;=_xlfn.PERCENTILE.INC($C$2:$C$288,0.6),4,C7&gt;=_xlfn.PERCENTILE.INC($C$2:$C$288,0.4),3,C7&gt;=_xlfn.PERCENTILE.INC($C$2:$C$288,0.2),2,TRUE,1)</f>
        <v>5</v>
      </c>
      <c r="G7" s="1" cm="1">
        <f t="array" ref="G7">_xlfn.IFS(D7&gt;=_xlfn.PERCENTILE.INC($D$2:$D$288,0.8),5,D7&gt;=_xlfn.PERCENTILE.INC($D$2:$D$288,0.6),4,D7&gt;=_xlfn.PERCENTILE.INC($D$2:$D$288,0.4),3,D7&gt;=_xlfn.PERCENTILE.INC($D$2:$D$288,0.2),2,TRUE,1)</f>
        <v>5</v>
      </c>
      <c r="H7" s="1">
        <f t="shared" si="0"/>
        <v>12</v>
      </c>
      <c r="I7" s="1" t="str" cm="1">
        <f t="array" ref="I7">_xlfn.IFS(H7&gt;=13,"Best Customers",H7&gt;=10,"Loyal Customers",H7&gt;=7,"Potential Loyal Customers",H7&gt;=4,"Need Attention",TRUE,"At Risk")</f>
        <v>Loyal Customers</v>
      </c>
    </row>
    <row r="8" spans="1:9">
      <c r="A8" s="1" t="s">
        <v>349</v>
      </c>
      <c r="B8" s="9">
        <v>44.590868055602201</v>
      </c>
      <c r="C8" s="1">
        <v>4</v>
      </c>
      <c r="D8" s="4">
        <v>106.62</v>
      </c>
      <c r="E8" s="1" cm="1">
        <f t="array" ref="E8">_xlfn.IFS(B8&lt;=_xlfn.PERCENTILE.INC($B$2:$B$288,0.2),5,B8&lt;=_xlfn.PERCENTILE.INC($B$2:$B$288,0.4),4,B8&lt;=_xlfn.PERCENTILE.INC($B$2:$B$288,0.6),3,B8&lt;=_xlfn.PERCENTILE.INC($B$2:$B$288,0.8),2,TRUE,1)</f>
        <v>4</v>
      </c>
      <c r="F8" s="1" cm="1">
        <f t="array" ref="F8">_xlfn.IFS(C8&gt;=_xlfn.PERCENTILE.INC($C$2:$C$288,0.8),5,C8&gt;=_xlfn.PERCENTILE.INC($C$2:$C$288,0.6),4,C8&gt;=_xlfn.PERCENTILE.INC($C$2:$C$288,0.4),3,C8&gt;=_xlfn.PERCENTILE.INC($C$2:$C$288,0.2),2,TRUE,1)</f>
        <v>4</v>
      </c>
      <c r="G8" s="1" cm="1">
        <f t="array" ref="G8">_xlfn.IFS(D8&gt;=_xlfn.PERCENTILE.INC($D$2:$D$288,0.8),5,D8&gt;=_xlfn.PERCENTILE.INC($D$2:$D$288,0.6),4,D8&gt;=_xlfn.PERCENTILE.INC($D$2:$D$288,0.4),3,D8&gt;=_xlfn.PERCENTILE.INC($D$2:$D$288,0.2),2,TRUE,1)</f>
        <v>5</v>
      </c>
      <c r="H8" s="1">
        <f t="shared" si="0"/>
        <v>13</v>
      </c>
      <c r="I8" s="1" t="str" cm="1">
        <f t="array" ref="I8">_xlfn.IFS(H8&gt;=13,"Best Customers",H8&gt;=10,"Loyal Customers",H8&gt;=7,"Potential Loyal Customers",H8&gt;=4,"Need Attention",TRUE,"At Risk")</f>
        <v>Best Customers</v>
      </c>
    </row>
    <row r="9" spans="1:9">
      <c r="A9" s="1" t="s">
        <v>439</v>
      </c>
      <c r="B9" s="9">
        <v>19.590868055602201</v>
      </c>
      <c r="C9" s="1">
        <v>6</v>
      </c>
      <c r="D9" s="4">
        <v>139.02000000000001</v>
      </c>
      <c r="E9" s="1" cm="1">
        <f t="array" ref="E9">_xlfn.IFS(B9&lt;=_xlfn.PERCENTILE.INC($B$2:$B$288,0.2),5,B9&lt;=_xlfn.PERCENTILE.INC($B$2:$B$288,0.4),4,B9&lt;=_xlfn.PERCENTILE.INC($B$2:$B$288,0.6),3,B9&lt;=_xlfn.PERCENTILE.INC($B$2:$B$288,0.8),2,TRUE,1)</f>
        <v>5</v>
      </c>
      <c r="F9" s="1" cm="1">
        <f t="array" ref="F9">_xlfn.IFS(C9&gt;=_xlfn.PERCENTILE.INC($C$2:$C$288,0.8),5,C9&gt;=_xlfn.PERCENTILE.INC($C$2:$C$288,0.6),4,C9&gt;=_xlfn.PERCENTILE.INC($C$2:$C$288,0.4),3,C9&gt;=_xlfn.PERCENTILE.INC($C$2:$C$288,0.2),2,TRUE,1)</f>
        <v>5</v>
      </c>
      <c r="G9" s="1" cm="1">
        <f t="array" ref="G9">_xlfn.IFS(D9&gt;=_xlfn.PERCENTILE.INC($D$2:$D$288,0.8),5,D9&gt;=_xlfn.PERCENTILE.INC($D$2:$D$288,0.6),4,D9&gt;=_xlfn.PERCENTILE.INC($D$2:$D$288,0.4),3,D9&gt;=_xlfn.PERCENTILE.INC($D$2:$D$288,0.2),2,TRUE,1)</f>
        <v>5</v>
      </c>
      <c r="H9" s="1">
        <f t="shared" si="0"/>
        <v>15</v>
      </c>
      <c r="I9" s="1" t="str" cm="1">
        <f t="array" ref="I9">_xlfn.IFS(H9&gt;=13,"Best Customers",H9&gt;=10,"Loyal Customers",H9&gt;=7,"Potential Loyal Customers",H9&gt;=4,"Need Attention",TRUE,"At Risk")</f>
        <v>Best Customers</v>
      </c>
    </row>
    <row r="10" spans="1:9">
      <c r="A10" s="1" t="s">
        <v>15</v>
      </c>
      <c r="B10" s="9">
        <v>24.590868055602201</v>
      </c>
      <c r="C10" s="1">
        <v>4</v>
      </c>
      <c r="D10" s="4">
        <v>35.17</v>
      </c>
      <c r="E10" s="1" cm="1">
        <f t="array" ref="E10">_xlfn.IFS(B10&lt;=_xlfn.PERCENTILE.INC($B$2:$B$288,0.2),5,B10&lt;=_xlfn.PERCENTILE.INC($B$2:$B$288,0.4),4,B10&lt;=_xlfn.PERCENTILE.INC($B$2:$B$288,0.6),3,B10&lt;=_xlfn.PERCENTILE.INC($B$2:$B$288,0.8),2,TRUE,1)</f>
        <v>4</v>
      </c>
      <c r="F10" s="1" cm="1">
        <f t="array" ref="F10">_xlfn.IFS(C10&gt;=_xlfn.PERCENTILE.INC($C$2:$C$288,0.8),5,C10&gt;=_xlfn.PERCENTILE.INC($C$2:$C$288,0.6),4,C10&gt;=_xlfn.PERCENTILE.INC($C$2:$C$288,0.4),3,C10&gt;=_xlfn.PERCENTILE.INC($C$2:$C$288,0.2),2,TRUE,1)</f>
        <v>4</v>
      </c>
      <c r="G10" s="1" cm="1">
        <f t="array" ref="G10">_xlfn.IFS(D10&gt;=_xlfn.PERCENTILE.INC($D$2:$D$288,0.8),5,D10&gt;=_xlfn.PERCENTILE.INC($D$2:$D$288,0.6),4,D10&gt;=_xlfn.PERCENTILE.INC($D$2:$D$288,0.4),3,D10&gt;=_xlfn.PERCENTILE.INC($D$2:$D$288,0.2),2,TRUE,1)</f>
        <v>2</v>
      </c>
      <c r="H10" s="1">
        <f t="shared" si="0"/>
        <v>10</v>
      </c>
      <c r="I10" s="1" t="str" cm="1">
        <f t="array" ref="I10">_xlfn.IFS(H10&gt;=13,"Best Customers",H10&gt;=10,"Loyal Customers",H10&gt;=7,"Potential Loyal Customers",H10&gt;=4,"Need Attention",TRUE,"At Risk")</f>
        <v>Loyal Customers</v>
      </c>
    </row>
    <row r="11" spans="1:9">
      <c r="A11" s="1" t="s">
        <v>192</v>
      </c>
      <c r="B11" s="9">
        <v>17.590868055602201</v>
      </c>
      <c r="C11" s="1">
        <v>6</v>
      </c>
      <c r="D11" s="4">
        <v>128.11000000000001</v>
      </c>
      <c r="E11" s="1" cm="1">
        <f t="array" ref="E11">_xlfn.IFS(B11&lt;=_xlfn.PERCENTILE.INC($B$2:$B$288,0.2),5,B11&lt;=_xlfn.PERCENTILE.INC($B$2:$B$288,0.4),4,B11&lt;=_xlfn.PERCENTILE.INC($B$2:$B$288,0.6),3,B11&lt;=_xlfn.PERCENTILE.INC($B$2:$B$288,0.8),2,TRUE,1)</f>
        <v>5</v>
      </c>
      <c r="F11" s="1" cm="1">
        <f t="array" ref="F11">_xlfn.IFS(C11&gt;=_xlfn.PERCENTILE.INC($C$2:$C$288,0.8),5,C11&gt;=_xlfn.PERCENTILE.INC($C$2:$C$288,0.6),4,C11&gt;=_xlfn.PERCENTILE.INC($C$2:$C$288,0.4),3,C11&gt;=_xlfn.PERCENTILE.INC($C$2:$C$288,0.2),2,TRUE,1)</f>
        <v>5</v>
      </c>
      <c r="G11" s="1" cm="1">
        <f t="array" ref="G11">_xlfn.IFS(D11&gt;=_xlfn.PERCENTILE.INC($D$2:$D$288,0.8),5,D11&gt;=_xlfn.PERCENTILE.INC($D$2:$D$288,0.6),4,D11&gt;=_xlfn.PERCENTILE.INC($D$2:$D$288,0.4),3,D11&gt;=_xlfn.PERCENTILE.INC($D$2:$D$288,0.2),2,TRUE,1)</f>
        <v>5</v>
      </c>
      <c r="H11" s="1">
        <f t="shared" si="0"/>
        <v>15</v>
      </c>
      <c r="I11" s="1" t="str" cm="1">
        <f t="array" ref="I11">_xlfn.IFS(H11&gt;=13,"Best Customers",H11&gt;=10,"Loyal Customers",H11&gt;=7,"Potential Loyal Customers",H11&gt;=4,"Need Attention",TRUE,"At Risk")</f>
        <v>Best Customers</v>
      </c>
    </row>
    <row r="12" spans="1:9">
      <c r="A12" s="1" t="s">
        <v>560</v>
      </c>
      <c r="B12" s="9">
        <v>42.590868055602201</v>
      </c>
      <c r="C12" s="1">
        <v>9</v>
      </c>
      <c r="D12" s="4">
        <v>187.09</v>
      </c>
      <c r="E12" s="1" cm="1">
        <f t="array" ref="E12">_xlfn.IFS(B12&lt;=_xlfn.PERCENTILE.INC($B$2:$B$288,0.2),5,B12&lt;=_xlfn.PERCENTILE.INC($B$2:$B$288,0.4),4,B12&lt;=_xlfn.PERCENTILE.INC($B$2:$B$288,0.6),3,B12&lt;=_xlfn.PERCENTILE.INC($B$2:$B$288,0.8),2,TRUE,1)</f>
        <v>4</v>
      </c>
      <c r="F12" s="1" cm="1">
        <f t="array" ref="F12">_xlfn.IFS(C12&gt;=_xlfn.PERCENTILE.INC($C$2:$C$288,0.8),5,C12&gt;=_xlfn.PERCENTILE.INC($C$2:$C$288,0.6),4,C12&gt;=_xlfn.PERCENTILE.INC($C$2:$C$288,0.4),3,C12&gt;=_xlfn.PERCENTILE.INC($C$2:$C$288,0.2),2,TRUE,1)</f>
        <v>5</v>
      </c>
      <c r="G12" s="1" cm="1">
        <f t="array" ref="G12">_xlfn.IFS(D12&gt;=_xlfn.PERCENTILE.INC($D$2:$D$288,0.8),5,D12&gt;=_xlfn.PERCENTILE.INC($D$2:$D$288,0.6),4,D12&gt;=_xlfn.PERCENTILE.INC($D$2:$D$288,0.4),3,D12&gt;=_xlfn.PERCENTILE.INC($D$2:$D$288,0.2),2,TRUE,1)</f>
        <v>5</v>
      </c>
      <c r="H12" s="1">
        <f t="shared" si="0"/>
        <v>14</v>
      </c>
      <c r="I12" s="1" t="str" cm="1">
        <f t="array" ref="I12">_xlfn.IFS(H12&gt;=13,"Best Customers",H12&gt;=10,"Loyal Customers",H12&gt;=7,"Potential Loyal Customers",H12&gt;=4,"Need Attention",TRUE,"At Risk")</f>
        <v>Best Customers</v>
      </c>
    </row>
    <row r="13" spans="1:9">
      <c r="A13" s="1" t="s">
        <v>24</v>
      </c>
      <c r="B13" s="9">
        <v>8.5908680556021899</v>
      </c>
      <c r="C13" s="1">
        <v>2</v>
      </c>
      <c r="D13" s="4">
        <v>30.9</v>
      </c>
      <c r="E13" s="1" cm="1">
        <f t="array" ref="E13">_xlfn.IFS(B13&lt;=_xlfn.PERCENTILE.INC($B$2:$B$288,0.2),5,B13&lt;=_xlfn.PERCENTILE.INC($B$2:$B$288,0.4),4,B13&lt;=_xlfn.PERCENTILE.INC($B$2:$B$288,0.6),3,B13&lt;=_xlfn.PERCENTILE.INC($B$2:$B$288,0.8),2,TRUE,1)</f>
        <v>5</v>
      </c>
      <c r="F13" s="1" cm="1">
        <f t="array" ref="F13">_xlfn.IFS(C13&gt;=_xlfn.PERCENTILE.INC($C$2:$C$288,0.8),5,C13&gt;=_xlfn.PERCENTILE.INC($C$2:$C$288,0.6),4,C13&gt;=_xlfn.PERCENTILE.INC($C$2:$C$288,0.4),3,C13&gt;=_xlfn.PERCENTILE.INC($C$2:$C$288,0.2),2,TRUE,1)</f>
        <v>2</v>
      </c>
      <c r="G13" s="1" cm="1">
        <f t="array" ref="G13">_xlfn.IFS(D13&gt;=_xlfn.PERCENTILE.INC($D$2:$D$288,0.8),5,D13&gt;=_xlfn.PERCENTILE.INC($D$2:$D$288,0.6),4,D13&gt;=_xlfn.PERCENTILE.INC($D$2:$D$288,0.4),3,D13&gt;=_xlfn.PERCENTILE.INC($D$2:$D$288,0.2),2,TRUE,1)</f>
        <v>2</v>
      </c>
      <c r="H13" s="1">
        <f t="shared" si="0"/>
        <v>9</v>
      </c>
      <c r="I13" s="1" t="str" cm="1">
        <f t="array" ref="I13">_xlfn.IFS(H13&gt;=13,"Best Customers",H13&gt;=10,"Loyal Customers",H13&gt;=7,"Potential Loyal Customers",H13&gt;=4,"Need Attention",TRUE,"At Risk")</f>
        <v>Potential Loyal Customers</v>
      </c>
    </row>
    <row r="14" spans="1:9">
      <c r="A14" s="1" t="s">
        <v>96</v>
      </c>
      <c r="B14" s="9">
        <v>67.590868055602201</v>
      </c>
      <c r="C14" s="1">
        <v>6</v>
      </c>
      <c r="D14" s="4">
        <v>132.01</v>
      </c>
      <c r="E14" s="1" cm="1">
        <f t="array" ref="E14">_xlfn.IFS(B14&lt;=_xlfn.PERCENTILE.INC($B$2:$B$288,0.2),5,B14&lt;=_xlfn.PERCENTILE.INC($B$2:$B$288,0.4),4,B14&lt;=_xlfn.PERCENTILE.INC($B$2:$B$288,0.6),3,B14&lt;=_xlfn.PERCENTILE.INC($B$2:$B$288,0.8),2,TRUE,1)</f>
        <v>3</v>
      </c>
      <c r="F14" s="1" cm="1">
        <f t="array" ref="F14">_xlfn.IFS(C14&gt;=_xlfn.PERCENTILE.INC($C$2:$C$288,0.8),5,C14&gt;=_xlfn.PERCENTILE.INC($C$2:$C$288,0.6),4,C14&gt;=_xlfn.PERCENTILE.INC($C$2:$C$288,0.4),3,C14&gt;=_xlfn.PERCENTILE.INC($C$2:$C$288,0.2),2,TRUE,1)</f>
        <v>5</v>
      </c>
      <c r="G14" s="1" cm="1">
        <f t="array" ref="G14">_xlfn.IFS(D14&gt;=_xlfn.PERCENTILE.INC($D$2:$D$288,0.8),5,D14&gt;=_xlfn.PERCENTILE.INC($D$2:$D$288,0.6),4,D14&gt;=_xlfn.PERCENTILE.INC($D$2:$D$288,0.4),3,D14&gt;=_xlfn.PERCENTILE.INC($D$2:$D$288,0.2),2,TRUE,1)</f>
        <v>5</v>
      </c>
      <c r="H14" s="1">
        <f t="shared" si="0"/>
        <v>13</v>
      </c>
      <c r="I14" s="1" t="str" cm="1">
        <f t="array" ref="I14">_xlfn.IFS(H14&gt;=13,"Best Customers",H14&gt;=10,"Loyal Customers",H14&gt;=7,"Potential Loyal Customers",H14&gt;=4,"Need Attention",TRUE,"At Risk")</f>
        <v>Best Customers</v>
      </c>
    </row>
    <row r="15" spans="1:9">
      <c r="A15" s="1" t="s">
        <v>128</v>
      </c>
      <c r="B15" s="9">
        <v>113.590868055602</v>
      </c>
      <c r="C15" s="1">
        <v>5</v>
      </c>
      <c r="D15" s="4">
        <v>58.19</v>
      </c>
      <c r="E15" s="1" cm="1">
        <f t="array" ref="E15">_xlfn.IFS(B15&lt;=_xlfn.PERCENTILE.INC($B$2:$B$288,0.2),5,B15&lt;=_xlfn.PERCENTILE.INC($B$2:$B$288,0.4),4,B15&lt;=_xlfn.PERCENTILE.INC($B$2:$B$288,0.6),3,B15&lt;=_xlfn.PERCENTILE.INC($B$2:$B$288,0.8),2,TRUE,1)</f>
        <v>2</v>
      </c>
      <c r="F15" s="1" cm="1">
        <f t="array" ref="F15">_xlfn.IFS(C15&gt;=_xlfn.PERCENTILE.INC($C$2:$C$288,0.8),5,C15&gt;=_xlfn.PERCENTILE.INC($C$2:$C$288,0.6),4,C15&gt;=_xlfn.PERCENTILE.INC($C$2:$C$288,0.4),3,C15&gt;=_xlfn.PERCENTILE.INC($C$2:$C$288,0.2),2,TRUE,1)</f>
        <v>5</v>
      </c>
      <c r="G15" s="1" cm="1">
        <f t="array" ref="G15">_xlfn.IFS(D15&gt;=_xlfn.PERCENTILE.INC($D$2:$D$288,0.8),5,D15&gt;=_xlfn.PERCENTILE.INC($D$2:$D$288,0.6),4,D15&gt;=_xlfn.PERCENTILE.INC($D$2:$D$288,0.4),3,D15&gt;=_xlfn.PERCENTILE.INC($D$2:$D$288,0.2),2,TRUE,1)</f>
        <v>3</v>
      </c>
      <c r="H15" s="1">
        <f t="shared" si="0"/>
        <v>10</v>
      </c>
      <c r="I15" s="1" t="str" cm="1">
        <f t="array" ref="I15">_xlfn.IFS(H15&gt;=13,"Best Customers",H15&gt;=10,"Loyal Customers",H15&gt;=7,"Potential Loyal Customers",H15&gt;=4,"Need Attention",TRUE,"At Risk")</f>
        <v>Loyal Customers</v>
      </c>
    </row>
    <row r="16" spans="1:9">
      <c r="A16" s="1" t="s">
        <v>590</v>
      </c>
      <c r="B16" s="9">
        <v>175.59086805560199</v>
      </c>
      <c r="C16" s="1">
        <v>2</v>
      </c>
      <c r="D16" s="4">
        <v>39.26</v>
      </c>
      <c r="E16" s="1" cm="1">
        <f t="array" ref="E16">_xlfn.IFS(B16&lt;=_xlfn.PERCENTILE.INC($B$2:$B$288,0.2),5,B16&lt;=_xlfn.PERCENTILE.INC($B$2:$B$288,0.4),4,B16&lt;=_xlfn.PERCENTILE.INC($B$2:$B$288,0.6),3,B16&lt;=_xlfn.PERCENTILE.INC($B$2:$B$288,0.8),2,TRUE,1)</f>
        <v>1</v>
      </c>
      <c r="F16" s="1" cm="1">
        <f t="array" ref="F16">_xlfn.IFS(C16&gt;=_xlfn.PERCENTILE.INC($C$2:$C$288,0.8),5,C16&gt;=_xlfn.PERCENTILE.INC($C$2:$C$288,0.6),4,C16&gt;=_xlfn.PERCENTILE.INC($C$2:$C$288,0.4),3,C16&gt;=_xlfn.PERCENTILE.INC($C$2:$C$288,0.2),2,TRUE,1)</f>
        <v>2</v>
      </c>
      <c r="G16" s="1" cm="1">
        <f t="array" ref="G16">_xlfn.IFS(D16&gt;=_xlfn.PERCENTILE.INC($D$2:$D$288,0.8),5,D16&gt;=_xlfn.PERCENTILE.INC($D$2:$D$288,0.6),4,D16&gt;=_xlfn.PERCENTILE.INC($D$2:$D$288,0.4),3,D16&gt;=_xlfn.PERCENTILE.INC($D$2:$D$288,0.2),2,TRUE,1)</f>
        <v>2</v>
      </c>
      <c r="H16" s="1">
        <f t="shared" si="0"/>
        <v>5</v>
      </c>
      <c r="I16" s="1" t="str" cm="1">
        <f t="array" ref="I16">_xlfn.IFS(H16&gt;=13,"Best Customers",H16&gt;=10,"Loyal Customers",H16&gt;=7,"Potential Loyal Customers",H16&gt;=4,"Need Attention",TRUE,"At Risk")</f>
        <v>Need Attention</v>
      </c>
    </row>
    <row r="17" spans="1:9">
      <c r="A17" s="1" t="s">
        <v>264</v>
      </c>
      <c r="B17" s="9">
        <v>92.590868055602201</v>
      </c>
      <c r="C17" s="1">
        <v>6</v>
      </c>
      <c r="D17" s="4">
        <v>90.01</v>
      </c>
      <c r="E17" s="1" cm="1">
        <f t="array" ref="E17">_xlfn.IFS(B17&lt;=_xlfn.PERCENTILE.INC($B$2:$B$288,0.2),5,B17&lt;=_xlfn.PERCENTILE.INC($B$2:$B$288,0.4),4,B17&lt;=_xlfn.PERCENTILE.INC($B$2:$B$288,0.6),3,B17&lt;=_xlfn.PERCENTILE.INC($B$2:$B$288,0.8),2,TRUE,1)</f>
        <v>3</v>
      </c>
      <c r="F17" s="1" cm="1">
        <f t="array" ref="F17">_xlfn.IFS(C17&gt;=_xlfn.PERCENTILE.INC($C$2:$C$288,0.8),5,C17&gt;=_xlfn.PERCENTILE.INC($C$2:$C$288,0.6),4,C17&gt;=_xlfn.PERCENTILE.INC($C$2:$C$288,0.4),3,C17&gt;=_xlfn.PERCENTILE.INC($C$2:$C$288,0.2),2,TRUE,1)</f>
        <v>5</v>
      </c>
      <c r="G17" s="1" cm="1">
        <f t="array" ref="G17">_xlfn.IFS(D17&gt;=_xlfn.PERCENTILE.INC($D$2:$D$288,0.8),5,D17&gt;=_xlfn.PERCENTILE.INC($D$2:$D$288,0.6),4,D17&gt;=_xlfn.PERCENTILE.INC($D$2:$D$288,0.4),3,D17&gt;=_xlfn.PERCENTILE.INC($D$2:$D$288,0.2),2,TRUE,1)</f>
        <v>4</v>
      </c>
      <c r="H17" s="1">
        <f t="shared" si="0"/>
        <v>12</v>
      </c>
      <c r="I17" s="1" t="str" cm="1">
        <f t="array" ref="I17">_xlfn.IFS(H17&gt;=13,"Best Customers",H17&gt;=10,"Loyal Customers",H17&gt;=7,"Potential Loyal Customers",H17&gt;=4,"Need Attention",TRUE,"At Risk")</f>
        <v>Loyal Customers</v>
      </c>
    </row>
    <row r="18" spans="1:9">
      <c r="A18" s="1" t="s">
        <v>317</v>
      </c>
      <c r="B18" s="9">
        <v>132.59086805560199</v>
      </c>
      <c r="C18" s="1">
        <v>2</v>
      </c>
      <c r="D18" s="4">
        <v>68.16</v>
      </c>
      <c r="E18" s="1" cm="1">
        <f t="array" ref="E18">_xlfn.IFS(B18&lt;=_xlfn.PERCENTILE.INC($B$2:$B$288,0.2),5,B18&lt;=_xlfn.PERCENTILE.INC($B$2:$B$288,0.4),4,B18&lt;=_xlfn.PERCENTILE.INC($B$2:$B$288,0.6),3,B18&lt;=_xlfn.PERCENTILE.INC($B$2:$B$288,0.8),2,TRUE,1)</f>
        <v>2</v>
      </c>
      <c r="F18" s="1" cm="1">
        <f t="array" ref="F18">_xlfn.IFS(C18&gt;=_xlfn.PERCENTILE.INC($C$2:$C$288,0.8),5,C18&gt;=_xlfn.PERCENTILE.INC($C$2:$C$288,0.6),4,C18&gt;=_xlfn.PERCENTILE.INC($C$2:$C$288,0.4),3,C18&gt;=_xlfn.PERCENTILE.INC($C$2:$C$288,0.2),2,TRUE,1)</f>
        <v>2</v>
      </c>
      <c r="G18" s="1" cm="1">
        <f t="array" ref="G18">_xlfn.IFS(D18&gt;=_xlfn.PERCENTILE.INC($D$2:$D$288,0.8),5,D18&gt;=_xlfn.PERCENTILE.INC($D$2:$D$288,0.6),4,D18&gt;=_xlfn.PERCENTILE.INC($D$2:$D$288,0.4),3,D18&gt;=_xlfn.PERCENTILE.INC($D$2:$D$288,0.2),2,TRUE,1)</f>
        <v>4</v>
      </c>
      <c r="H18" s="1">
        <f t="shared" si="0"/>
        <v>8</v>
      </c>
      <c r="I18" s="1" t="str" cm="1">
        <f t="array" ref="I18">_xlfn.IFS(H18&gt;=13,"Best Customers",H18&gt;=10,"Loyal Customers",H18&gt;=7,"Potential Loyal Customers",H18&gt;=4,"Need Attention",TRUE,"At Risk")</f>
        <v>Potential Loyal Customers</v>
      </c>
    </row>
    <row r="19" spans="1:9">
      <c r="A19" s="1" t="s">
        <v>315</v>
      </c>
      <c r="B19" s="9">
        <v>65.590868055602201</v>
      </c>
      <c r="C19" s="1">
        <v>3</v>
      </c>
      <c r="D19" s="4">
        <v>50.73</v>
      </c>
      <c r="E19" s="1" cm="1">
        <f t="array" ref="E19">_xlfn.IFS(B19&lt;=_xlfn.PERCENTILE.INC($B$2:$B$288,0.2),5,B19&lt;=_xlfn.PERCENTILE.INC($B$2:$B$288,0.4),4,B19&lt;=_xlfn.PERCENTILE.INC($B$2:$B$288,0.6),3,B19&lt;=_xlfn.PERCENTILE.INC($B$2:$B$288,0.8),2,TRUE,1)</f>
        <v>3</v>
      </c>
      <c r="F19" s="1" cm="1">
        <f t="array" ref="F19">_xlfn.IFS(C19&gt;=_xlfn.PERCENTILE.INC($C$2:$C$288,0.8),5,C19&gt;=_xlfn.PERCENTILE.INC($C$2:$C$288,0.6),4,C19&gt;=_xlfn.PERCENTILE.INC($C$2:$C$288,0.4),3,C19&gt;=_xlfn.PERCENTILE.INC($C$2:$C$288,0.2),2,TRUE,1)</f>
        <v>3</v>
      </c>
      <c r="G19" s="1" cm="1">
        <f t="array" ref="G19">_xlfn.IFS(D19&gt;=_xlfn.PERCENTILE.INC($D$2:$D$288,0.8),5,D19&gt;=_xlfn.PERCENTILE.INC($D$2:$D$288,0.6),4,D19&gt;=_xlfn.PERCENTILE.INC($D$2:$D$288,0.4),3,D19&gt;=_xlfn.PERCENTILE.INC($D$2:$D$288,0.2),2,TRUE,1)</f>
        <v>3</v>
      </c>
      <c r="H19" s="1">
        <f t="shared" si="0"/>
        <v>9</v>
      </c>
      <c r="I19" s="1" t="str" cm="1">
        <f t="array" ref="I19">_xlfn.IFS(H19&gt;=13,"Best Customers",H19&gt;=10,"Loyal Customers",H19&gt;=7,"Potential Loyal Customers",H19&gt;=4,"Need Attention",TRUE,"At Risk")</f>
        <v>Potential Loyal Customers</v>
      </c>
    </row>
    <row r="20" spans="1:9">
      <c r="A20" s="1" t="s">
        <v>411</v>
      </c>
      <c r="B20" s="9">
        <v>92.590868055602201</v>
      </c>
      <c r="C20" s="1">
        <v>4</v>
      </c>
      <c r="D20" s="4">
        <v>52.31</v>
      </c>
      <c r="E20" s="1" cm="1">
        <f t="array" ref="E20">_xlfn.IFS(B20&lt;=_xlfn.PERCENTILE.INC($B$2:$B$288,0.2),5,B20&lt;=_xlfn.PERCENTILE.INC($B$2:$B$288,0.4),4,B20&lt;=_xlfn.PERCENTILE.INC($B$2:$B$288,0.6),3,B20&lt;=_xlfn.PERCENTILE.INC($B$2:$B$288,0.8),2,TRUE,1)</f>
        <v>3</v>
      </c>
      <c r="F20" s="1" cm="1">
        <f t="array" ref="F20">_xlfn.IFS(C20&gt;=_xlfn.PERCENTILE.INC($C$2:$C$288,0.8),5,C20&gt;=_xlfn.PERCENTILE.INC($C$2:$C$288,0.6),4,C20&gt;=_xlfn.PERCENTILE.INC($C$2:$C$288,0.4),3,C20&gt;=_xlfn.PERCENTILE.INC($C$2:$C$288,0.2),2,TRUE,1)</f>
        <v>4</v>
      </c>
      <c r="G20" s="1" cm="1">
        <f t="array" ref="G20">_xlfn.IFS(D20&gt;=_xlfn.PERCENTILE.INC($D$2:$D$288,0.8),5,D20&gt;=_xlfn.PERCENTILE.INC($D$2:$D$288,0.6),4,D20&gt;=_xlfn.PERCENTILE.INC($D$2:$D$288,0.4),3,D20&gt;=_xlfn.PERCENTILE.INC($D$2:$D$288,0.2),2,TRUE,1)</f>
        <v>3</v>
      </c>
      <c r="H20" s="1">
        <f t="shared" si="0"/>
        <v>10</v>
      </c>
      <c r="I20" s="1" t="str" cm="1">
        <f t="array" ref="I20">_xlfn.IFS(H20&gt;=13,"Best Customers",H20&gt;=10,"Loyal Customers",H20&gt;=7,"Potential Loyal Customers",H20&gt;=4,"Need Attention",TRUE,"At Risk")</f>
        <v>Loyal Customers</v>
      </c>
    </row>
    <row r="21" spans="1:9">
      <c r="A21" s="1" t="s">
        <v>870</v>
      </c>
      <c r="B21" s="9">
        <v>126.590868055602</v>
      </c>
      <c r="C21" s="1">
        <v>3</v>
      </c>
      <c r="D21" s="4">
        <v>57.05</v>
      </c>
      <c r="E21" s="1" cm="1">
        <f t="array" ref="E21">_xlfn.IFS(B21&lt;=_xlfn.PERCENTILE.INC($B$2:$B$288,0.2),5,B21&lt;=_xlfn.PERCENTILE.INC($B$2:$B$288,0.4),4,B21&lt;=_xlfn.PERCENTILE.INC($B$2:$B$288,0.6),3,B21&lt;=_xlfn.PERCENTILE.INC($B$2:$B$288,0.8),2,TRUE,1)</f>
        <v>2</v>
      </c>
      <c r="F21" s="1" cm="1">
        <f t="array" ref="F21">_xlfn.IFS(C21&gt;=_xlfn.PERCENTILE.INC($C$2:$C$288,0.8),5,C21&gt;=_xlfn.PERCENTILE.INC($C$2:$C$288,0.6),4,C21&gt;=_xlfn.PERCENTILE.INC($C$2:$C$288,0.4),3,C21&gt;=_xlfn.PERCENTILE.INC($C$2:$C$288,0.2),2,TRUE,1)</f>
        <v>3</v>
      </c>
      <c r="G21" s="1" cm="1">
        <f t="array" ref="G21">_xlfn.IFS(D21&gt;=_xlfn.PERCENTILE.INC($D$2:$D$288,0.8),5,D21&gt;=_xlfn.PERCENTILE.INC($D$2:$D$288,0.6),4,D21&gt;=_xlfn.PERCENTILE.INC($D$2:$D$288,0.4),3,D21&gt;=_xlfn.PERCENTILE.INC($D$2:$D$288,0.2),2,TRUE,1)</f>
        <v>3</v>
      </c>
      <c r="H21" s="1">
        <f t="shared" si="0"/>
        <v>8</v>
      </c>
      <c r="I21" s="1" t="str" cm="1">
        <f t="array" ref="I21">_xlfn.IFS(H21&gt;=13,"Best Customers",H21&gt;=10,"Loyal Customers",H21&gt;=7,"Potential Loyal Customers",H21&gt;=4,"Need Attention",TRUE,"At Risk")</f>
        <v>Potential Loyal Customers</v>
      </c>
    </row>
    <row r="22" spans="1:9">
      <c r="A22" s="1" t="s">
        <v>828</v>
      </c>
      <c r="B22" s="9">
        <v>8.5908680556021899</v>
      </c>
      <c r="C22" s="1">
        <v>3</v>
      </c>
      <c r="D22" s="4">
        <v>50.93</v>
      </c>
      <c r="E22" s="1" cm="1">
        <f t="array" ref="E22">_xlfn.IFS(B22&lt;=_xlfn.PERCENTILE.INC($B$2:$B$288,0.2),5,B22&lt;=_xlfn.PERCENTILE.INC($B$2:$B$288,0.4),4,B22&lt;=_xlfn.PERCENTILE.INC($B$2:$B$288,0.6),3,B22&lt;=_xlfn.PERCENTILE.INC($B$2:$B$288,0.8),2,TRUE,1)</f>
        <v>5</v>
      </c>
      <c r="F22" s="1" cm="1">
        <f t="array" ref="F22">_xlfn.IFS(C22&gt;=_xlfn.PERCENTILE.INC($C$2:$C$288,0.8),5,C22&gt;=_xlfn.PERCENTILE.INC($C$2:$C$288,0.6),4,C22&gt;=_xlfn.PERCENTILE.INC($C$2:$C$288,0.4),3,C22&gt;=_xlfn.PERCENTILE.INC($C$2:$C$288,0.2),2,TRUE,1)</f>
        <v>3</v>
      </c>
      <c r="G22" s="1" cm="1">
        <f t="array" ref="G22">_xlfn.IFS(D22&gt;=_xlfn.PERCENTILE.INC($D$2:$D$288,0.8),5,D22&gt;=_xlfn.PERCENTILE.INC($D$2:$D$288,0.6),4,D22&gt;=_xlfn.PERCENTILE.INC($D$2:$D$288,0.4),3,D22&gt;=_xlfn.PERCENTILE.INC($D$2:$D$288,0.2),2,TRUE,1)</f>
        <v>3</v>
      </c>
      <c r="H22" s="1">
        <f t="shared" si="0"/>
        <v>11</v>
      </c>
      <c r="I22" s="1" t="str" cm="1">
        <f t="array" ref="I22">_xlfn.IFS(H22&gt;=13,"Best Customers",H22&gt;=10,"Loyal Customers",H22&gt;=7,"Potential Loyal Customers",H22&gt;=4,"Need Attention",TRUE,"At Risk")</f>
        <v>Loyal Customers</v>
      </c>
    </row>
    <row r="23" spans="1:9">
      <c r="A23" s="1" t="s">
        <v>104</v>
      </c>
      <c r="B23" s="9">
        <v>91.590868055602201</v>
      </c>
      <c r="C23" s="1">
        <v>3</v>
      </c>
      <c r="D23" s="4">
        <v>62.49</v>
      </c>
      <c r="E23" s="1" cm="1">
        <f t="array" ref="E23">_xlfn.IFS(B23&lt;=_xlfn.PERCENTILE.INC($B$2:$B$288,0.2),5,B23&lt;=_xlfn.PERCENTILE.INC($B$2:$B$288,0.4),4,B23&lt;=_xlfn.PERCENTILE.INC($B$2:$B$288,0.6),3,B23&lt;=_xlfn.PERCENTILE.INC($B$2:$B$288,0.8),2,TRUE,1)</f>
        <v>3</v>
      </c>
      <c r="F23" s="1" cm="1">
        <f t="array" ref="F23">_xlfn.IFS(C23&gt;=_xlfn.PERCENTILE.INC($C$2:$C$288,0.8),5,C23&gt;=_xlfn.PERCENTILE.INC($C$2:$C$288,0.6),4,C23&gt;=_xlfn.PERCENTILE.INC($C$2:$C$288,0.4),3,C23&gt;=_xlfn.PERCENTILE.INC($C$2:$C$288,0.2),2,TRUE,1)</f>
        <v>3</v>
      </c>
      <c r="G23" s="1" cm="1">
        <f t="array" ref="G23">_xlfn.IFS(D23&gt;=_xlfn.PERCENTILE.INC($D$2:$D$288,0.8),5,D23&gt;=_xlfn.PERCENTILE.INC($D$2:$D$288,0.6),4,D23&gt;=_xlfn.PERCENTILE.INC($D$2:$D$288,0.4),3,D23&gt;=_xlfn.PERCENTILE.INC($D$2:$D$288,0.2),2,TRUE,1)</f>
        <v>4</v>
      </c>
      <c r="H23" s="1">
        <f t="shared" si="0"/>
        <v>10</v>
      </c>
      <c r="I23" s="1" t="str" cm="1">
        <f t="array" ref="I23">_xlfn.IFS(H23&gt;=13,"Best Customers",H23&gt;=10,"Loyal Customers",H23&gt;=7,"Potential Loyal Customers",H23&gt;=4,"Need Attention",TRUE,"At Risk")</f>
        <v>Loyal Customers</v>
      </c>
    </row>
    <row r="24" spans="1:9">
      <c r="A24" s="1" t="s">
        <v>902</v>
      </c>
      <c r="B24" s="9">
        <v>73.590868055602201</v>
      </c>
      <c r="C24" s="1">
        <v>2</v>
      </c>
      <c r="D24" s="4">
        <v>16.66</v>
      </c>
      <c r="E24" s="1" cm="1">
        <f t="array" ref="E24">_xlfn.IFS(B24&lt;=_xlfn.PERCENTILE.INC($B$2:$B$288,0.2),5,B24&lt;=_xlfn.PERCENTILE.INC($B$2:$B$288,0.4),4,B24&lt;=_xlfn.PERCENTILE.INC($B$2:$B$288,0.6),3,B24&lt;=_xlfn.PERCENTILE.INC($B$2:$B$288,0.8),2,TRUE,1)</f>
        <v>3</v>
      </c>
      <c r="F24" s="1" cm="1">
        <f t="array" ref="F24">_xlfn.IFS(C24&gt;=_xlfn.PERCENTILE.INC($C$2:$C$288,0.8),5,C24&gt;=_xlfn.PERCENTILE.INC($C$2:$C$288,0.6),4,C24&gt;=_xlfn.PERCENTILE.INC($C$2:$C$288,0.4),3,C24&gt;=_xlfn.PERCENTILE.INC($C$2:$C$288,0.2),2,TRUE,1)</f>
        <v>2</v>
      </c>
      <c r="G24" s="1" cm="1">
        <f t="array" ref="G24">_xlfn.IFS(D24&gt;=_xlfn.PERCENTILE.INC($D$2:$D$288,0.8),5,D24&gt;=_xlfn.PERCENTILE.INC($D$2:$D$288,0.6),4,D24&gt;=_xlfn.PERCENTILE.INC($D$2:$D$288,0.4),3,D24&gt;=_xlfn.PERCENTILE.INC($D$2:$D$288,0.2),2,TRUE,1)</f>
        <v>1</v>
      </c>
      <c r="H24" s="1">
        <f t="shared" si="0"/>
        <v>6</v>
      </c>
      <c r="I24" s="1" t="str" cm="1">
        <f t="array" ref="I24">_xlfn.IFS(H24&gt;=13,"Best Customers",H24&gt;=10,"Loyal Customers",H24&gt;=7,"Potential Loyal Customers",H24&gt;=4,"Need Attention",TRUE,"At Risk")</f>
        <v>Need Attention</v>
      </c>
    </row>
    <row r="25" spans="1:9">
      <c r="A25" s="1" t="s">
        <v>256</v>
      </c>
      <c r="B25" s="9">
        <v>40.590868055602201</v>
      </c>
      <c r="C25" s="1">
        <v>6</v>
      </c>
      <c r="D25" s="4">
        <v>109.94</v>
      </c>
      <c r="E25" s="1" cm="1">
        <f t="array" ref="E25">_xlfn.IFS(B25&lt;=_xlfn.PERCENTILE.INC($B$2:$B$288,0.2),5,B25&lt;=_xlfn.PERCENTILE.INC($B$2:$B$288,0.4),4,B25&lt;=_xlfn.PERCENTILE.INC($B$2:$B$288,0.6),3,B25&lt;=_xlfn.PERCENTILE.INC($B$2:$B$288,0.8),2,TRUE,1)</f>
        <v>4</v>
      </c>
      <c r="F25" s="1" cm="1">
        <f t="array" ref="F25">_xlfn.IFS(C25&gt;=_xlfn.PERCENTILE.INC($C$2:$C$288,0.8),5,C25&gt;=_xlfn.PERCENTILE.INC($C$2:$C$288,0.6),4,C25&gt;=_xlfn.PERCENTILE.INC($C$2:$C$288,0.4),3,C25&gt;=_xlfn.PERCENTILE.INC($C$2:$C$288,0.2),2,TRUE,1)</f>
        <v>5</v>
      </c>
      <c r="G25" s="1" cm="1">
        <f t="array" ref="G25">_xlfn.IFS(D25&gt;=_xlfn.PERCENTILE.INC($D$2:$D$288,0.8),5,D25&gt;=_xlfn.PERCENTILE.INC($D$2:$D$288,0.6),4,D25&gt;=_xlfn.PERCENTILE.INC($D$2:$D$288,0.4),3,D25&gt;=_xlfn.PERCENTILE.INC($D$2:$D$288,0.2),2,TRUE,1)</f>
        <v>5</v>
      </c>
      <c r="H25" s="1">
        <f t="shared" si="0"/>
        <v>14</v>
      </c>
      <c r="I25" s="1" t="str" cm="1">
        <f t="array" ref="I25">_xlfn.IFS(H25&gt;=13,"Best Customers",H25&gt;=10,"Loyal Customers",H25&gt;=7,"Potential Loyal Customers",H25&gt;=4,"Need Attention",TRUE,"At Risk")</f>
        <v>Best Customers</v>
      </c>
    </row>
    <row r="26" spans="1:9">
      <c r="A26" s="1" t="s">
        <v>585</v>
      </c>
      <c r="B26" s="9">
        <v>142.59086805560199</v>
      </c>
      <c r="C26" s="1">
        <v>4</v>
      </c>
      <c r="D26" s="4">
        <v>95.76</v>
      </c>
      <c r="E26" s="1" cm="1">
        <f t="array" ref="E26">_xlfn.IFS(B26&lt;=_xlfn.PERCENTILE.INC($B$2:$B$288,0.2),5,B26&lt;=_xlfn.PERCENTILE.INC($B$2:$B$288,0.4),4,B26&lt;=_xlfn.PERCENTILE.INC($B$2:$B$288,0.6),3,B26&lt;=_xlfn.PERCENTILE.INC($B$2:$B$288,0.8),2,TRUE,1)</f>
        <v>2</v>
      </c>
      <c r="F26" s="1" cm="1">
        <f t="array" ref="F26">_xlfn.IFS(C26&gt;=_xlfn.PERCENTILE.INC($C$2:$C$288,0.8),5,C26&gt;=_xlfn.PERCENTILE.INC($C$2:$C$288,0.6),4,C26&gt;=_xlfn.PERCENTILE.INC($C$2:$C$288,0.4),3,C26&gt;=_xlfn.PERCENTILE.INC($C$2:$C$288,0.2),2,TRUE,1)</f>
        <v>4</v>
      </c>
      <c r="G26" s="1" cm="1">
        <f t="array" ref="G26">_xlfn.IFS(D26&gt;=_xlfn.PERCENTILE.INC($D$2:$D$288,0.8),5,D26&gt;=_xlfn.PERCENTILE.INC($D$2:$D$288,0.6),4,D26&gt;=_xlfn.PERCENTILE.INC($D$2:$D$288,0.4),3,D26&gt;=_xlfn.PERCENTILE.INC($D$2:$D$288,0.2),2,TRUE,1)</f>
        <v>5</v>
      </c>
      <c r="H26" s="1">
        <f t="shared" si="0"/>
        <v>11</v>
      </c>
      <c r="I26" s="1" t="str" cm="1">
        <f t="array" ref="I26">_xlfn.IFS(H26&gt;=13,"Best Customers",H26&gt;=10,"Loyal Customers",H26&gt;=7,"Potential Loyal Customers",H26&gt;=4,"Need Attention",TRUE,"At Risk")</f>
        <v>Loyal Customers</v>
      </c>
    </row>
    <row r="27" spans="1:9">
      <c r="A27" s="1" t="s">
        <v>479</v>
      </c>
      <c r="B27" s="9">
        <v>129.59086805560199</v>
      </c>
      <c r="C27" s="1">
        <v>5</v>
      </c>
      <c r="D27" s="4">
        <v>70.66</v>
      </c>
      <c r="E27" s="1" cm="1">
        <f t="array" ref="E27">_xlfn.IFS(B27&lt;=_xlfn.PERCENTILE.INC($B$2:$B$288,0.2),5,B27&lt;=_xlfn.PERCENTILE.INC($B$2:$B$288,0.4),4,B27&lt;=_xlfn.PERCENTILE.INC($B$2:$B$288,0.6),3,B27&lt;=_xlfn.PERCENTILE.INC($B$2:$B$288,0.8),2,TRUE,1)</f>
        <v>2</v>
      </c>
      <c r="F27" s="1" cm="1">
        <f t="array" ref="F27">_xlfn.IFS(C27&gt;=_xlfn.PERCENTILE.INC($C$2:$C$288,0.8),5,C27&gt;=_xlfn.PERCENTILE.INC($C$2:$C$288,0.6),4,C27&gt;=_xlfn.PERCENTILE.INC($C$2:$C$288,0.4),3,C27&gt;=_xlfn.PERCENTILE.INC($C$2:$C$288,0.2),2,TRUE,1)</f>
        <v>5</v>
      </c>
      <c r="G27" s="1" cm="1">
        <f t="array" ref="G27">_xlfn.IFS(D27&gt;=_xlfn.PERCENTILE.INC($D$2:$D$288,0.8),5,D27&gt;=_xlfn.PERCENTILE.INC($D$2:$D$288,0.6),4,D27&gt;=_xlfn.PERCENTILE.INC($D$2:$D$288,0.4),3,D27&gt;=_xlfn.PERCENTILE.INC($D$2:$D$288,0.2),2,TRUE,1)</f>
        <v>4</v>
      </c>
      <c r="H27" s="1">
        <f t="shared" si="0"/>
        <v>11</v>
      </c>
      <c r="I27" s="1" t="str" cm="1">
        <f t="array" ref="I27">_xlfn.IFS(H27&gt;=13,"Best Customers",H27&gt;=10,"Loyal Customers",H27&gt;=7,"Potential Loyal Customers",H27&gt;=4,"Need Attention",TRUE,"At Risk")</f>
        <v>Loyal Customers</v>
      </c>
    </row>
    <row r="28" spans="1:9">
      <c r="A28" s="1" t="s">
        <v>1065</v>
      </c>
      <c r="B28" s="9">
        <v>114.590868055602</v>
      </c>
      <c r="C28" s="1">
        <v>1</v>
      </c>
      <c r="D28" s="4">
        <v>4.8600000000000003</v>
      </c>
      <c r="E28" s="1" cm="1">
        <f t="array" ref="E28">_xlfn.IFS(B28&lt;=_xlfn.PERCENTILE.INC($B$2:$B$288,0.2),5,B28&lt;=_xlfn.PERCENTILE.INC($B$2:$B$288,0.4),4,B28&lt;=_xlfn.PERCENTILE.INC($B$2:$B$288,0.6),3,B28&lt;=_xlfn.PERCENTILE.INC($B$2:$B$288,0.8),2,TRUE,1)</f>
        <v>2</v>
      </c>
      <c r="F28" s="1" cm="1">
        <f t="array" ref="F28">_xlfn.IFS(C28&gt;=_xlfn.PERCENTILE.INC($C$2:$C$288,0.8),5,C28&gt;=_xlfn.PERCENTILE.INC($C$2:$C$288,0.6),4,C28&gt;=_xlfn.PERCENTILE.INC($C$2:$C$288,0.4),3,C28&gt;=_xlfn.PERCENTILE.INC($C$2:$C$288,0.2),2,TRUE,1)</f>
        <v>1</v>
      </c>
      <c r="G28" s="1" cm="1">
        <f t="array" ref="G28">_xlfn.IFS(D28&gt;=_xlfn.PERCENTILE.INC($D$2:$D$288,0.8),5,D28&gt;=_xlfn.PERCENTILE.INC($D$2:$D$288,0.6),4,D28&gt;=_xlfn.PERCENTILE.INC($D$2:$D$288,0.4),3,D28&gt;=_xlfn.PERCENTILE.INC($D$2:$D$288,0.2),2,TRUE,1)</f>
        <v>1</v>
      </c>
      <c r="H28" s="1">
        <f t="shared" si="0"/>
        <v>4</v>
      </c>
      <c r="I28" s="1" t="str" cm="1">
        <f t="array" ref="I28">_xlfn.IFS(H28&gt;=13,"Best Customers",H28&gt;=10,"Loyal Customers",H28&gt;=7,"Potential Loyal Customers",H28&gt;=4,"Need Attention",TRUE,"At Risk")</f>
        <v>Need Attention</v>
      </c>
    </row>
    <row r="29" spans="1:9">
      <c r="A29" s="1" t="s">
        <v>225</v>
      </c>
      <c r="B29" s="9">
        <v>61.590868055602201</v>
      </c>
      <c r="C29" s="1">
        <v>6</v>
      </c>
      <c r="D29" s="4">
        <v>130.91999999999999</v>
      </c>
      <c r="E29" s="1" cm="1">
        <f t="array" ref="E29">_xlfn.IFS(B29&lt;=_xlfn.PERCENTILE.INC($B$2:$B$288,0.2),5,B29&lt;=_xlfn.PERCENTILE.INC($B$2:$B$288,0.4),4,B29&lt;=_xlfn.PERCENTILE.INC($B$2:$B$288,0.6),3,B29&lt;=_xlfn.PERCENTILE.INC($B$2:$B$288,0.8),2,TRUE,1)</f>
        <v>3</v>
      </c>
      <c r="F29" s="1" cm="1">
        <f t="array" ref="F29">_xlfn.IFS(C29&gt;=_xlfn.PERCENTILE.INC($C$2:$C$288,0.8),5,C29&gt;=_xlfn.PERCENTILE.INC($C$2:$C$288,0.6),4,C29&gt;=_xlfn.PERCENTILE.INC($C$2:$C$288,0.4),3,C29&gt;=_xlfn.PERCENTILE.INC($C$2:$C$288,0.2),2,TRUE,1)</f>
        <v>5</v>
      </c>
      <c r="G29" s="1" cm="1">
        <f t="array" ref="G29">_xlfn.IFS(D29&gt;=_xlfn.PERCENTILE.INC($D$2:$D$288,0.8),5,D29&gt;=_xlfn.PERCENTILE.INC($D$2:$D$288,0.6),4,D29&gt;=_xlfn.PERCENTILE.INC($D$2:$D$288,0.4),3,D29&gt;=_xlfn.PERCENTILE.INC($D$2:$D$288,0.2),2,TRUE,1)</f>
        <v>5</v>
      </c>
      <c r="H29" s="1">
        <f t="shared" si="0"/>
        <v>13</v>
      </c>
      <c r="I29" s="1" t="str" cm="1">
        <f t="array" ref="I29">_xlfn.IFS(H29&gt;=13,"Best Customers",H29&gt;=10,"Loyal Customers",H29&gt;=7,"Potential Loyal Customers",H29&gt;=4,"Need Attention",TRUE,"At Risk")</f>
        <v>Best Customers</v>
      </c>
    </row>
    <row r="30" spans="1:9">
      <c r="A30" s="1" t="s">
        <v>784</v>
      </c>
      <c r="B30" s="9">
        <v>272.59086805560202</v>
      </c>
      <c r="C30" s="1">
        <v>1</v>
      </c>
      <c r="D30" s="4">
        <v>9.42</v>
      </c>
      <c r="E30" s="1" cm="1">
        <f t="array" ref="E30">_xlfn.IFS(B30&lt;=_xlfn.PERCENTILE.INC($B$2:$B$288,0.2),5,B30&lt;=_xlfn.PERCENTILE.INC($B$2:$B$288,0.4),4,B30&lt;=_xlfn.PERCENTILE.INC($B$2:$B$288,0.6),3,B30&lt;=_xlfn.PERCENTILE.INC($B$2:$B$288,0.8),2,TRUE,1)</f>
        <v>1</v>
      </c>
      <c r="F30" s="1" cm="1">
        <f t="array" ref="F30">_xlfn.IFS(C30&gt;=_xlfn.PERCENTILE.INC($C$2:$C$288,0.8),5,C30&gt;=_xlfn.PERCENTILE.INC($C$2:$C$288,0.6),4,C30&gt;=_xlfn.PERCENTILE.INC($C$2:$C$288,0.4),3,C30&gt;=_xlfn.PERCENTILE.INC($C$2:$C$288,0.2),2,TRUE,1)</f>
        <v>1</v>
      </c>
      <c r="G30" s="1" cm="1">
        <f t="array" ref="G30">_xlfn.IFS(D30&gt;=_xlfn.PERCENTILE.INC($D$2:$D$288,0.8),5,D30&gt;=_xlfn.PERCENTILE.INC($D$2:$D$288,0.6),4,D30&gt;=_xlfn.PERCENTILE.INC($D$2:$D$288,0.4),3,D30&gt;=_xlfn.PERCENTILE.INC($D$2:$D$288,0.2),2,TRUE,1)</f>
        <v>1</v>
      </c>
      <c r="H30" s="1">
        <f t="shared" si="0"/>
        <v>3</v>
      </c>
      <c r="I30" s="1" t="str" cm="1">
        <f t="array" ref="I30">_xlfn.IFS(H30&gt;=13,"Best Customers",H30&gt;=10,"Loyal Customers",H30&gt;=7,"Potential Loyal Customers",H30&gt;=4,"Need Attention",TRUE,"At Risk")</f>
        <v>At Risk</v>
      </c>
    </row>
    <row r="31" spans="1:9">
      <c r="A31" s="1" t="s">
        <v>307</v>
      </c>
      <c r="B31" s="9">
        <v>134.59086805560199</v>
      </c>
      <c r="C31" s="1">
        <v>2</v>
      </c>
      <c r="D31" s="4">
        <v>26.84</v>
      </c>
      <c r="E31" s="1" cm="1">
        <f t="array" ref="E31">_xlfn.IFS(B31&lt;=_xlfn.PERCENTILE.INC($B$2:$B$288,0.2),5,B31&lt;=_xlfn.PERCENTILE.INC($B$2:$B$288,0.4),4,B31&lt;=_xlfn.PERCENTILE.INC($B$2:$B$288,0.6),3,B31&lt;=_xlfn.PERCENTILE.INC($B$2:$B$288,0.8),2,TRUE,1)</f>
        <v>2</v>
      </c>
      <c r="F31" s="1" cm="1">
        <f t="array" ref="F31">_xlfn.IFS(C31&gt;=_xlfn.PERCENTILE.INC($C$2:$C$288,0.8),5,C31&gt;=_xlfn.PERCENTILE.INC($C$2:$C$288,0.6),4,C31&gt;=_xlfn.PERCENTILE.INC($C$2:$C$288,0.4),3,C31&gt;=_xlfn.PERCENTILE.INC($C$2:$C$288,0.2),2,TRUE,1)</f>
        <v>2</v>
      </c>
      <c r="G31" s="1" cm="1">
        <f t="array" ref="G31">_xlfn.IFS(D31&gt;=_xlfn.PERCENTILE.INC($D$2:$D$288,0.8),5,D31&gt;=_xlfn.PERCENTILE.INC($D$2:$D$288,0.6),4,D31&gt;=_xlfn.PERCENTILE.INC($D$2:$D$288,0.4),3,D31&gt;=_xlfn.PERCENTILE.INC($D$2:$D$288,0.2),2,TRUE,1)</f>
        <v>2</v>
      </c>
      <c r="H31" s="1">
        <f t="shared" si="0"/>
        <v>6</v>
      </c>
      <c r="I31" s="1" t="str" cm="1">
        <f t="array" ref="I31">_xlfn.IFS(H31&gt;=13,"Best Customers",H31&gt;=10,"Loyal Customers",H31&gt;=7,"Potential Loyal Customers",H31&gt;=4,"Need Attention",TRUE,"At Risk")</f>
        <v>Need Attention</v>
      </c>
    </row>
    <row r="32" spans="1:9">
      <c r="A32" s="1" t="s">
        <v>843</v>
      </c>
      <c r="B32" s="9">
        <v>26.590868055602201</v>
      </c>
      <c r="C32" s="1">
        <v>1</v>
      </c>
      <c r="D32" s="4">
        <v>5.71</v>
      </c>
      <c r="E32" s="1" cm="1">
        <f t="array" ref="E32">_xlfn.IFS(B32&lt;=_xlfn.PERCENTILE.INC($B$2:$B$288,0.2),5,B32&lt;=_xlfn.PERCENTILE.INC($B$2:$B$288,0.4),4,B32&lt;=_xlfn.PERCENTILE.INC($B$2:$B$288,0.6),3,B32&lt;=_xlfn.PERCENTILE.INC($B$2:$B$288,0.8),2,TRUE,1)</f>
        <v>4</v>
      </c>
      <c r="F32" s="1" cm="1">
        <f t="array" ref="F32">_xlfn.IFS(C32&gt;=_xlfn.PERCENTILE.INC($C$2:$C$288,0.8),5,C32&gt;=_xlfn.PERCENTILE.INC($C$2:$C$288,0.6),4,C32&gt;=_xlfn.PERCENTILE.INC($C$2:$C$288,0.4),3,C32&gt;=_xlfn.PERCENTILE.INC($C$2:$C$288,0.2),2,TRUE,1)</f>
        <v>1</v>
      </c>
      <c r="G32" s="1" cm="1">
        <f t="array" ref="G32">_xlfn.IFS(D32&gt;=_xlfn.PERCENTILE.INC($D$2:$D$288,0.8),5,D32&gt;=_xlfn.PERCENTILE.INC($D$2:$D$288,0.6),4,D32&gt;=_xlfn.PERCENTILE.INC($D$2:$D$288,0.4),3,D32&gt;=_xlfn.PERCENTILE.INC($D$2:$D$288,0.2),2,TRUE,1)</f>
        <v>1</v>
      </c>
      <c r="H32" s="1">
        <f t="shared" si="0"/>
        <v>6</v>
      </c>
      <c r="I32" s="1" t="str" cm="1">
        <f t="array" ref="I32">_xlfn.IFS(H32&gt;=13,"Best Customers",H32&gt;=10,"Loyal Customers",H32&gt;=7,"Potential Loyal Customers",H32&gt;=4,"Need Attention",TRUE,"At Risk")</f>
        <v>Need Attention</v>
      </c>
    </row>
    <row r="33" spans="1:9">
      <c r="A33" s="1" t="s">
        <v>471</v>
      </c>
      <c r="B33" s="9">
        <v>213.59086805560199</v>
      </c>
      <c r="C33" s="1">
        <v>2</v>
      </c>
      <c r="D33" s="4">
        <v>15.89</v>
      </c>
      <c r="E33" s="1" cm="1">
        <f t="array" ref="E33">_xlfn.IFS(B33&lt;=_xlfn.PERCENTILE.INC($B$2:$B$288,0.2),5,B33&lt;=_xlfn.PERCENTILE.INC($B$2:$B$288,0.4),4,B33&lt;=_xlfn.PERCENTILE.INC($B$2:$B$288,0.6),3,B33&lt;=_xlfn.PERCENTILE.INC($B$2:$B$288,0.8),2,TRUE,1)</f>
        <v>1</v>
      </c>
      <c r="F33" s="1" cm="1">
        <f t="array" ref="F33">_xlfn.IFS(C33&gt;=_xlfn.PERCENTILE.INC($C$2:$C$288,0.8),5,C33&gt;=_xlfn.PERCENTILE.INC($C$2:$C$288,0.6),4,C33&gt;=_xlfn.PERCENTILE.INC($C$2:$C$288,0.4),3,C33&gt;=_xlfn.PERCENTILE.INC($C$2:$C$288,0.2),2,TRUE,1)</f>
        <v>2</v>
      </c>
      <c r="G33" s="1" cm="1">
        <f t="array" ref="G33">_xlfn.IFS(D33&gt;=_xlfn.PERCENTILE.INC($D$2:$D$288,0.8),5,D33&gt;=_xlfn.PERCENTILE.INC($D$2:$D$288,0.6),4,D33&gt;=_xlfn.PERCENTILE.INC($D$2:$D$288,0.4),3,D33&gt;=_xlfn.PERCENTILE.INC($D$2:$D$288,0.2),2,TRUE,1)</f>
        <v>1</v>
      </c>
      <c r="H33" s="1">
        <f t="shared" si="0"/>
        <v>4</v>
      </c>
      <c r="I33" s="1" t="str" cm="1">
        <f t="array" ref="I33">_xlfn.IFS(H33&gt;=13,"Best Customers",H33&gt;=10,"Loyal Customers",H33&gt;=7,"Potential Loyal Customers",H33&gt;=4,"Need Attention",TRUE,"At Risk")</f>
        <v>Need Attention</v>
      </c>
    </row>
    <row r="34" spans="1:9">
      <c r="A34" s="1" t="s">
        <v>54</v>
      </c>
      <c r="B34" s="9">
        <v>173.59086805560199</v>
      </c>
      <c r="C34" s="1">
        <v>3</v>
      </c>
      <c r="D34" s="4">
        <v>58.38</v>
      </c>
      <c r="E34" s="1" cm="1">
        <f t="array" ref="E34">_xlfn.IFS(B34&lt;=_xlfn.PERCENTILE.INC($B$2:$B$288,0.2),5,B34&lt;=_xlfn.PERCENTILE.INC($B$2:$B$288,0.4),4,B34&lt;=_xlfn.PERCENTILE.INC($B$2:$B$288,0.6),3,B34&lt;=_xlfn.PERCENTILE.INC($B$2:$B$288,0.8),2,TRUE,1)</f>
        <v>1</v>
      </c>
      <c r="F34" s="1" cm="1">
        <f t="array" ref="F34">_xlfn.IFS(C34&gt;=_xlfn.PERCENTILE.INC($C$2:$C$288,0.8),5,C34&gt;=_xlfn.PERCENTILE.INC($C$2:$C$288,0.6),4,C34&gt;=_xlfn.PERCENTILE.INC($C$2:$C$288,0.4),3,C34&gt;=_xlfn.PERCENTILE.INC($C$2:$C$288,0.2),2,TRUE,1)</f>
        <v>3</v>
      </c>
      <c r="G34" s="1" cm="1">
        <f t="array" ref="G34">_xlfn.IFS(D34&gt;=_xlfn.PERCENTILE.INC($D$2:$D$288,0.8),5,D34&gt;=_xlfn.PERCENTILE.INC($D$2:$D$288,0.6),4,D34&gt;=_xlfn.PERCENTILE.INC($D$2:$D$288,0.4),3,D34&gt;=_xlfn.PERCENTILE.INC($D$2:$D$288,0.2),2,TRUE,1)</f>
        <v>3</v>
      </c>
      <c r="H34" s="1">
        <f t="shared" si="0"/>
        <v>7</v>
      </c>
      <c r="I34" s="1" t="str" cm="1">
        <f t="array" ref="I34">_xlfn.IFS(H34&gt;=13,"Best Customers",H34&gt;=10,"Loyal Customers",H34&gt;=7,"Potential Loyal Customers",H34&gt;=4,"Need Attention",TRUE,"At Risk")</f>
        <v>Potential Loyal Customers</v>
      </c>
    </row>
    <row r="35" spans="1:9">
      <c r="A35" s="1" t="s">
        <v>393</v>
      </c>
      <c r="B35" s="9">
        <v>15.590868055602201</v>
      </c>
      <c r="C35" s="1">
        <v>3</v>
      </c>
      <c r="D35" s="4">
        <v>72.06</v>
      </c>
      <c r="E35" s="1" cm="1">
        <f t="array" ref="E35">_xlfn.IFS(B35&lt;=_xlfn.PERCENTILE.INC($B$2:$B$288,0.2),5,B35&lt;=_xlfn.PERCENTILE.INC($B$2:$B$288,0.4),4,B35&lt;=_xlfn.PERCENTILE.INC($B$2:$B$288,0.6),3,B35&lt;=_xlfn.PERCENTILE.INC($B$2:$B$288,0.8),2,TRUE,1)</f>
        <v>5</v>
      </c>
      <c r="F35" s="1" cm="1">
        <f t="array" ref="F35">_xlfn.IFS(C35&gt;=_xlfn.PERCENTILE.INC($C$2:$C$288,0.8),5,C35&gt;=_xlfn.PERCENTILE.INC($C$2:$C$288,0.6),4,C35&gt;=_xlfn.PERCENTILE.INC($C$2:$C$288,0.4),3,C35&gt;=_xlfn.PERCENTILE.INC($C$2:$C$288,0.2),2,TRUE,1)</f>
        <v>3</v>
      </c>
      <c r="G35" s="1" cm="1">
        <f t="array" ref="G35">_xlfn.IFS(D35&gt;=_xlfn.PERCENTILE.INC($D$2:$D$288,0.8),5,D35&gt;=_xlfn.PERCENTILE.INC($D$2:$D$288,0.6),4,D35&gt;=_xlfn.PERCENTILE.INC($D$2:$D$288,0.4),3,D35&gt;=_xlfn.PERCENTILE.INC($D$2:$D$288,0.2),2,TRUE,1)</f>
        <v>4</v>
      </c>
      <c r="H35" s="1">
        <f t="shared" si="0"/>
        <v>12</v>
      </c>
      <c r="I35" s="1" t="str" cm="1">
        <f t="array" ref="I35">_xlfn.IFS(H35&gt;=13,"Best Customers",H35&gt;=10,"Loyal Customers",H35&gt;=7,"Potential Loyal Customers",H35&gt;=4,"Need Attention",TRUE,"At Risk")</f>
        <v>Loyal Customers</v>
      </c>
    </row>
    <row r="36" spans="1:9">
      <c r="A36" s="1" t="s">
        <v>742</v>
      </c>
      <c r="B36" s="9">
        <v>76.590868055602201</v>
      </c>
      <c r="C36" s="1">
        <v>3</v>
      </c>
      <c r="D36" s="4">
        <v>40.36</v>
      </c>
      <c r="E36" s="1" cm="1">
        <f t="array" ref="E36">_xlfn.IFS(B36&lt;=_xlfn.PERCENTILE.INC($B$2:$B$288,0.2),5,B36&lt;=_xlfn.PERCENTILE.INC($B$2:$B$288,0.4),4,B36&lt;=_xlfn.PERCENTILE.INC($B$2:$B$288,0.6),3,B36&lt;=_xlfn.PERCENTILE.INC($B$2:$B$288,0.8),2,TRUE,1)</f>
        <v>3</v>
      </c>
      <c r="F36" s="1" cm="1">
        <f t="array" ref="F36">_xlfn.IFS(C36&gt;=_xlfn.PERCENTILE.INC($C$2:$C$288,0.8),5,C36&gt;=_xlfn.PERCENTILE.INC($C$2:$C$288,0.6),4,C36&gt;=_xlfn.PERCENTILE.INC($C$2:$C$288,0.4),3,C36&gt;=_xlfn.PERCENTILE.INC($C$2:$C$288,0.2),2,TRUE,1)</f>
        <v>3</v>
      </c>
      <c r="G36" s="1" cm="1">
        <f t="array" ref="G36">_xlfn.IFS(D36&gt;=_xlfn.PERCENTILE.INC($D$2:$D$288,0.8),5,D36&gt;=_xlfn.PERCENTILE.INC($D$2:$D$288,0.6),4,D36&gt;=_xlfn.PERCENTILE.INC($D$2:$D$288,0.4),3,D36&gt;=_xlfn.PERCENTILE.INC($D$2:$D$288,0.2),2,TRUE,1)</f>
        <v>2</v>
      </c>
      <c r="H36" s="1">
        <f t="shared" si="0"/>
        <v>8</v>
      </c>
      <c r="I36" s="1" t="str" cm="1">
        <f t="array" ref="I36">_xlfn.IFS(H36&gt;=13,"Best Customers",H36&gt;=10,"Loyal Customers",H36&gt;=7,"Potential Loyal Customers",H36&gt;=4,"Need Attention",TRUE,"At Risk")</f>
        <v>Potential Loyal Customers</v>
      </c>
    </row>
    <row r="37" spans="1:9">
      <c r="A37" s="1" t="s">
        <v>39</v>
      </c>
      <c r="B37" s="9">
        <v>55.590868055602201</v>
      </c>
      <c r="C37" s="1">
        <v>4</v>
      </c>
      <c r="D37" s="4">
        <v>44.35</v>
      </c>
      <c r="E37" s="1" cm="1">
        <f t="array" ref="E37">_xlfn.IFS(B37&lt;=_xlfn.PERCENTILE.INC($B$2:$B$288,0.2),5,B37&lt;=_xlfn.PERCENTILE.INC($B$2:$B$288,0.4),4,B37&lt;=_xlfn.PERCENTILE.INC($B$2:$B$288,0.6),3,B37&lt;=_xlfn.PERCENTILE.INC($B$2:$B$288,0.8),2,TRUE,1)</f>
        <v>3</v>
      </c>
      <c r="F37" s="1" cm="1">
        <f t="array" ref="F37">_xlfn.IFS(C37&gt;=_xlfn.PERCENTILE.INC($C$2:$C$288,0.8),5,C37&gt;=_xlfn.PERCENTILE.INC($C$2:$C$288,0.6),4,C37&gt;=_xlfn.PERCENTILE.INC($C$2:$C$288,0.4),3,C37&gt;=_xlfn.PERCENTILE.INC($C$2:$C$288,0.2),2,TRUE,1)</f>
        <v>4</v>
      </c>
      <c r="G37" s="1" cm="1">
        <f t="array" ref="G37">_xlfn.IFS(D37&gt;=_xlfn.PERCENTILE.INC($D$2:$D$288,0.8),5,D37&gt;=_xlfn.PERCENTILE.INC($D$2:$D$288,0.6),4,D37&gt;=_xlfn.PERCENTILE.INC($D$2:$D$288,0.4),3,D37&gt;=_xlfn.PERCENTILE.INC($D$2:$D$288,0.2),2,TRUE,1)</f>
        <v>2</v>
      </c>
      <c r="H37" s="1">
        <f t="shared" si="0"/>
        <v>9</v>
      </c>
      <c r="I37" s="1" t="str" cm="1">
        <f t="array" ref="I37">_xlfn.IFS(H37&gt;=13,"Best Customers",H37&gt;=10,"Loyal Customers",H37&gt;=7,"Potential Loyal Customers",H37&gt;=4,"Need Attention",TRUE,"At Risk")</f>
        <v>Potential Loyal Customers</v>
      </c>
    </row>
    <row r="38" spans="1:9">
      <c r="A38" s="1" t="s">
        <v>118</v>
      </c>
      <c r="B38" s="9">
        <v>23.590868055602201</v>
      </c>
      <c r="C38" s="1">
        <v>8</v>
      </c>
      <c r="D38" s="4">
        <v>167.44</v>
      </c>
      <c r="E38" s="1" cm="1">
        <f t="array" ref="E38">_xlfn.IFS(B38&lt;=_xlfn.PERCENTILE.INC($B$2:$B$288,0.2),5,B38&lt;=_xlfn.PERCENTILE.INC($B$2:$B$288,0.4),4,B38&lt;=_xlfn.PERCENTILE.INC($B$2:$B$288,0.6),3,B38&lt;=_xlfn.PERCENTILE.INC($B$2:$B$288,0.8),2,TRUE,1)</f>
        <v>5</v>
      </c>
      <c r="F38" s="1" cm="1">
        <f t="array" ref="F38">_xlfn.IFS(C38&gt;=_xlfn.PERCENTILE.INC($C$2:$C$288,0.8),5,C38&gt;=_xlfn.PERCENTILE.INC($C$2:$C$288,0.6),4,C38&gt;=_xlfn.PERCENTILE.INC($C$2:$C$288,0.4),3,C38&gt;=_xlfn.PERCENTILE.INC($C$2:$C$288,0.2),2,TRUE,1)</f>
        <v>5</v>
      </c>
      <c r="G38" s="1" cm="1">
        <f t="array" ref="G38">_xlfn.IFS(D38&gt;=_xlfn.PERCENTILE.INC($D$2:$D$288,0.8),5,D38&gt;=_xlfn.PERCENTILE.INC($D$2:$D$288,0.6),4,D38&gt;=_xlfn.PERCENTILE.INC($D$2:$D$288,0.4),3,D38&gt;=_xlfn.PERCENTILE.INC($D$2:$D$288,0.2),2,TRUE,1)</f>
        <v>5</v>
      </c>
      <c r="H38" s="1">
        <f t="shared" si="0"/>
        <v>15</v>
      </c>
      <c r="I38" s="1" t="str" cm="1">
        <f t="array" ref="I38">_xlfn.IFS(H38&gt;=13,"Best Customers",H38&gt;=10,"Loyal Customers",H38&gt;=7,"Potential Loyal Customers",H38&gt;=4,"Need Attention",TRUE,"At Risk")</f>
        <v>Best Customers</v>
      </c>
    </row>
    <row r="39" spans="1:9">
      <c r="A39" s="1" t="s">
        <v>441</v>
      </c>
      <c r="B39" s="9">
        <v>29.590868055602201</v>
      </c>
      <c r="C39" s="1">
        <v>6</v>
      </c>
      <c r="D39" s="4">
        <v>101.46</v>
      </c>
      <c r="E39" s="1" cm="1">
        <f t="array" ref="E39">_xlfn.IFS(B39&lt;=_xlfn.PERCENTILE.INC($B$2:$B$288,0.2),5,B39&lt;=_xlfn.PERCENTILE.INC($B$2:$B$288,0.4),4,B39&lt;=_xlfn.PERCENTILE.INC($B$2:$B$288,0.6),3,B39&lt;=_xlfn.PERCENTILE.INC($B$2:$B$288,0.8),2,TRUE,1)</f>
        <v>4</v>
      </c>
      <c r="F39" s="1" cm="1">
        <f t="array" ref="F39">_xlfn.IFS(C39&gt;=_xlfn.PERCENTILE.INC($C$2:$C$288,0.8),5,C39&gt;=_xlfn.PERCENTILE.INC($C$2:$C$288,0.6),4,C39&gt;=_xlfn.PERCENTILE.INC($C$2:$C$288,0.4),3,C39&gt;=_xlfn.PERCENTILE.INC($C$2:$C$288,0.2),2,TRUE,1)</f>
        <v>5</v>
      </c>
      <c r="G39" s="1" cm="1">
        <f t="array" ref="G39">_xlfn.IFS(D39&gt;=_xlfn.PERCENTILE.INC($D$2:$D$288,0.8),5,D39&gt;=_xlfn.PERCENTILE.INC($D$2:$D$288,0.6),4,D39&gt;=_xlfn.PERCENTILE.INC($D$2:$D$288,0.4),3,D39&gt;=_xlfn.PERCENTILE.INC($D$2:$D$288,0.2),2,TRUE,1)</f>
        <v>5</v>
      </c>
      <c r="H39" s="1">
        <f t="shared" si="0"/>
        <v>14</v>
      </c>
      <c r="I39" s="1" t="str" cm="1">
        <f t="array" ref="I39">_xlfn.IFS(H39&gt;=13,"Best Customers",H39&gt;=10,"Loyal Customers",H39&gt;=7,"Potential Loyal Customers",H39&gt;=4,"Need Attention",TRUE,"At Risk")</f>
        <v>Best Customers</v>
      </c>
    </row>
    <row r="40" spans="1:9">
      <c r="A40" s="1" t="s">
        <v>469</v>
      </c>
      <c r="B40" s="9">
        <v>192.59086805560199</v>
      </c>
      <c r="C40" s="1">
        <v>4</v>
      </c>
      <c r="D40" s="4">
        <v>63.98</v>
      </c>
      <c r="E40" s="1" cm="1">
        <f t="array" ref="E40">_xlfn.IFS(B40&lt;=_xlfn.PERCENTILE.INC($B$2:$B$288,0.2),5,B40&lt;=_xlfn.PERCENTILE.INC($B$2:$B$288,0.4),4,B40&lt;=_xlfn.PERCENTILE.INC($B$2:$B$288,0.6),3,B40&lt;=_xlfn.PERCENTILE.INC($B$2:$B$288,0.8),2,TRUE,1)</f>
        <v>1</v>
      </c>
      <c r="F40" s="1" cm="1">
        <f t="array" ref="F40">_xlfn.IFS(C40&gt;=_xlfn.PERCENTILE.INC($C$2:$C$288,0.8),5,C40&gt;=_xlfn.PERCENTILE.INC($C$2:$C$288,0.6),4,C40&gt;=_xlfn.PERCENTILE.INC($C$2:$C$288,0.4),3,C40&gt;=_xlfn.PERCENTILE.INC($C$2:$C$288,0.2),2,TRUE,1)</f>
        <v>4</v>
      </c>
      <c r="G40" s="1" cm="1">
        <f t="array" ref="G40">_xlfn.IFS(D40&gt;=_xlfn.PERCENTILE.INC($D$2:$D$288,0.8),5,D40&gt;=_xlfn.PERCENTILE.INC($D$2:$D$288,0.6),4,D40&gt;=_xlfn.PERCENTILE.INC($D$2:$D$288,0.4),3,D40&gt;=_xlfn.PERCENTILE.INC($D$2:$D$288,0.2),2,TRUE,1)</f>
        <v>4</v>
      </c>
      <c r="H40" s="1">
        <f t="shared" si="0"/>
        <v>9</v>
      </c>
      <c r="I40" s="1" t="str" cm="1">
        <f t="array" ref="I40">_xlfn.IFS(H40&gt;=13,"Best Customers",H40&gt;=10,"Loyal Customers",H40&gt;=7,"Potential Loyal Customers",H40&gt;=4,"Need Attention",TRUE,"At Risk")</f>
        <v>Potential Loyal Customers</v>
      </c>
    </row>
    <row r="41" spans="1:9">
      <c r="A41" s="1" t="s">
        <v>88</v>
      </c>
      <c r="B41" s="9">
        <v>157.59086805560199</v>
      </c>
      <c r="C41" s="1">
        <v>4</v>
      </c>
      <c r="D41" s="4">
        <v>106.78</v>
      </c>
      <c r="E41" s="1" cm="1">
        <f t="array" ref="E41">_xlfn.IFS(B41&lt;=_xlfn.PERCENTILE.INC($B$2:$B$288,0.2),5,B41&lt;=_xlfn.PERCENTILE.INC($B$2:$B$288,0.4),4,B41&lt;=_xlfn.PERCENTILE.INC($B$2:$B$288,0.6),3,B41&lt;=_xlfn.PERCENTILE.INC($B$2:$B$288,0.8),2,TRUE,1)</f>
        <v>2</v>
      </c>
      <c r="F41" s="1" cm="1">
        <f t="array" ref="F41">_xlfn.IFS(C41&gt;=_xlfn.PERCENTILE.INC($C$2:$C$288,0.8),5,C41&gt;=_xlfn.PERCENTILE.INC($C$2:$C$288,0.6),4,C41&gt;=_xlfn.PERCENTILE.INC($C$2:$C$288,0.4),3,C41&gt;=_xlfn.PERCENTILE.INC($C$2:$C$288,0.2),2,TRUE,1)</f>
        <v>4</v>
      </c>
      <c r="G41" s="1" cm="1">
        <f t="array" ref="G41">_xlfn.IFS(D41&gt;=_xlfn.PERCENTILE.INC($D$2:$D$288,0.8),5,D41&gt;=_xlfn.PERCENTILE.INC($D$2:$D$288,0.6),4,D41&gt;=_xlfn.PERCENTILE.INC($D$2:$D$288,0.4),3,D41&gt;=_xlfn.PERCENTILE.INC($D$2:$D$288,0.2),2,TRUE,1)</f>
        <v>5</v>
      </c>
      <c r="H41" s="1">
        <f t="shared" si="0"/>
        <v>11</v>
      </c>
      <c r="I41" s="1" t="str" cm="1">
        <f t="array" ref="I41">_xlfn.IFS(H41&gt;=13,"Best Customers",H41&gt;=10,"Loyal Customers",H41&gt;=7,"Potential Loyal Customers",H41&gt;=4,"Need Attention",TRUE,"At Risk")</f>
        <v>Loyal Customers</v>
      </c>
    </row>
    <row r="42" spans="1:9">
      <c r="A42" s="1" t="s">
        <v>1210</v>
      </c>
      <c r="B42" s="9">
        <v>220.59086805560199</v>
      </c>
      <c r="C42" s="1">
        <v>1</v>
      </c>
      <c r="D42" s="4">
        <v>12.17</v>
      </c>
      <c r="E42" s="1" cm="1">
        <f t="array" ref="E42">_xlfn.IFS(B42&lt;=_xlfn.PERCENTILE.INC($B$2:$B$288,0.2),5,B42&lt;=_xlfn.PERCENTILE.INC($B$2:$B$288,0.4),4,B42&lt;=_xlfn.PERCENTILE.INC($B$2:$B$288,0.6),3,B42&lt;=_xlfn.PERCENTILE.INC($B$2:$B$288,0.8),2,TRUE,1)</f>
        <v>1</v>
      </c>
      <c r="F42" s="1" cm="1">
        <f t="array" ref="F42">_xlfn.IFS(C42&gt;=_xlfn.PERCENTILE.INC($C$2:$C$288,0.8),5,C42&gt;=_xlfn.PERCENTILE.INC($C$2:$C$288,0.6),4,C42&gt;=_xlfn.PERCENTILE.INC($C$2:$C$288,0.4),3,C42&gt;=_xlfn.PERCENTILE.INC($C$2:$C$288,0.2),2,TRUE,1)</f>
        <v>1</v>
      </c>
      <c r="G42" s="1" cm="1">
        <f t="array" ref="G42">_xlfn.IFS(D42&gt;=_xlfn.PERCENTILE.INC($D$2:$D$288,0.8),5,D42&gt;=_xlfn.PERCENTILE.INC($D$2:$D$288,0.6),4,D42&gt;=_xlfn.PERCENTILE.INC($D$2:$D$288,0.4),3,D42&gt;=_xlfn.PERCENTILE.INC($D$2:$D$288,0.2),2,TRUE,1)</f>
        <v>1</v>
      </c>
      <c r="H42" s="1">
        <f t="shared" si="0"/>
        <v>3</v>
      </c>
      <c r="I42" s="1" t="str" cm="1">
        <f t="array" ref="I42">_xlfn.IFS(H42&gt;=13,"Best Customers",H42&gt;=10,"Loyal Customers",H42&gt;=7,"Potential Loyal Customers",H42&gt;=4,"Need Attention",TRUE,"At Risk")</f>
        <v>At Risk</v>
      </c>
    </row>
    <row r="43" spans="1:9">
      <c r="A43" s="1" t="s">
        <v>565</v>
      </c>
      <c r="B43" s="9">
        <v>112.590868055602</v>
      </c>
      <c r="C43" s="1">
        <v>2</v>
      </c>
      <c r="D43" s="4">
        <v>10.38</v>
      </c>
      <c r="E43" s="1" cm="1">
        <f t="array" ref="E43">_xlfn.IFS(B43&lt;=_xlfn.PERCENTILE.INC($B$2:$B$288,0.2),5,B43&lt;=_xlfn.PERCENTILE.INC($B$2:$B$288,0.4),4,B43&lt;=_xlfn.PERCENTILE.INC($B$2:$B$288,0.6),3,B43&lt;=_xlfn.PERCENTILE.INC($B$2:$B$288,0.8),2,TRUE,1)</f>
        <v>2</v>
      </c>
      <c r="F43" s="1" cm="1">
        <f t="array" ref="F43">_xlfn.IFS(C43&gt;=_xlfn.PERCENTILE.INC($C$2:$C$288,0.8),5,C43&gt;=_xlfn.PERCENTILE.INC($C$2:$C$288,0.6),4,C43&gt;=_xlfn.PERCENTILE.INC($C$2:$C$288,0.4),3,C43&gt;=_xlfn.PERCENTILE.INC($C$2:$C$288,0.2),2,TRUE,1)</f>
        <v>2</v>
      </c>
      <c r="G43" s="1" cm="1">
        <f t="array" ref="G43">_xlfn.IFS(D43&gt;=_xlfn.PERCENTILE.INC($D$2:$D$288,0.8),5,D43&gt;=_xlfn.PERCENTILE.INC($D$2:$D$288,0.6),4,D43&gt;=_xlfn.PERCENTILE.INC($D$2:$D$288,0.4),3,D43&gt;=_xlfn.PERCENTILE.INC($D$2:$D$288,0.2),2,TRUE,1)</f>
        <v>1</v>
      </c>
      <c r="H43" s="1">
        <f t="shared" si="0"/>
        <v>5</v>
      </c>
      <c r="I43" s="1" t="str" cm="1">
        <f t="array" ref="I43">_xlfn.IFS(H43&gt;=13,"Best Customers",H43&gt;=10,"Loyal Customers",H43&gt;=7,"Potential Loyal Customers",H43&gt;=4,"Need Attention",TRUE,"At Risk")</f>
        <v>Need Attention</v>
      </c>
    </row>
    <row r="44" spans="1:9">
      <c r="A44" s="1" t="s">
        <v>770</v>
      </c>
      <c r="B44" s="9">
        <v>80.590868055602201</v>
      </c>
      <c r="C44" s="1">
        <v>2</v>
      </c>
      <c r="D44" s="4">
        <v>23.24</v>
      </c>
      <c r="E44" s="1" cm="1">
        <f t="array" ref="E44">_xlfn.IFS(B44&lt;=_xlfn.PERCENTILE.INC($B$2:$B$288,0.2),5,B44&lt;=_xlfn.PERCENTILE.INC($B$2:$B$288,0.4),4,B44&lt;=_xlfn.PERCENTILE.INC($B$2:$B$288,0.6),3,B44&lt;=_xlfn.PERCENTILE.INC($B$2:$B$288,0.8),2,TRUE,1)</f>
        <v>3</v>
      </c>
      <c r="F44" s="1" cm="1">
        <f t="array" ref="F44">_xlfn.IFS(C44&gt;=_xlfn.PERCENTILE.INC($C$2:$C$288,0.8),5,C44&gt;=_xlfn.PERCENTILE.INC($C$2:$C$288,0.6),4,C44&gt;=_xlfn.PERCENTILE.INC($C$2:$C$288,0.4),3,C44&gt;=_xlfn.PERCENTILE.INC($C$2:$C$288,0.2),2,TRUE,1)</f>
        <v>2</v>
      </c>
      <c r="G44" s="1" cm="1">
        <f t="array" ref="G44">_xlfn.IFS(D44&gt;=_xlfn.PERCENTILE.INC($D$2:$D$288,0.8),5,D44&gt;=_xlfn.PERCENTILE.INC($D$2:$D$288,0.6),4,D44&gt;=_xlfn.PERCENTILE.INC($D$2:$D$288,0.4),3,D44&gt;=_xlfn.PERCENTILE.INC($D$2:$D$288,0.2),2,TRUE,1)</f>
        <v>1</v>
      </c>
      <c r="H44" s="1">
        <f t="shared" si="0"/>
        <v>6</v>
      </c>
      <c r="I44" s="1" t="str" cm="1">
        <f t="array" ref="I44">_xlfn.IFS(H44&gt;=13,"Best Customers",H44&gt;=10,"Loyal Customers",H44&gt;=7,"Potential Loyal Customers",H44&gt;=4,"Need Attention",TRUE,"At Risk")</f>
        <v>Need Attention</v>
      </c>
    </row>
    <row r="45" spans="1:9">
      <c r="A45" s="1" t="s">
        <v>495</v>
      </c>
      <c r="B45" s="9">
        <v>173.59086805560199</v>
      </c>
      <c r="C45" s="1">
        <v>4</v>
      </c>
      <c r="D45" s="4">
        <v>65.58</v>
      </c>
      <c r="E45" s="1" cm="1">
        <f t="array" ref="E45">_xlfn.IFS(B45&lt;=_xlfn.PERCENTILE.INC($B$2:$B$288,0.2),5,B45&lt;=_xlfn.PERCENTILE.INC($B$2:$B$288,0.4),4,B45&lt;=_xlfn.PERCENTILE.INC($B$2:$B$288,0.6),3,B45&lt;=_xlfn.PERCENTILE.INC($B$2:$B$288,0.8),2,TRUE,1)</f>
        <v>1</v>
      </c>
      <c r="F45" s="1" cm="1">
        <f t="array" ref="F45">_xlfn.IFS(C45&gt;=_xlfn.PERCENTILE.INC($C$2:$C$288,0.8),5,C45&gt;=_xlfn.PERCENTILE.INC($C$2:$C$288,0.6),4,C45&gt;=_xlfn.PERCENTILE.INC($C$2:$C$288,0.4),3,C45&gt;=_xlfn.PERCENTILE.INC($C$2:$C$288,0.2),2,TRUE,1)</f>
        <v>4</v>
      </c>
      <c r="G45" s="1" cm="1">
        <f t="array" ref="G45">_xlfn.IFS(D45&gt;=_xlfn.PERCENTILE.INC($D$2:$D$288,0.8),5,D45&gt;=_xlfn.PERCENTILE.INC($D$2:$D$288,0.6),4,D45&gt;=_xlfn.PERCENTILE.INC($D$2:$D$288,0.4),3,D45&gt;=_xlfn.PERCENTILE.INC($D$2:$D$288,0.2),2,TRUE,1)</f>
        <v>4</v>
      </c>
      <c r="H45" s="1">
        <f t="shared" si="0"/>
        <v>9</v>
      </c>
      <c r="I45" s="1" t="str" cm="1">
        <f t="array" ref="I45">_xlfn.IFS(H45&gt;=13,"Best Customers",H45&gt;=10,"Loyal Customers",H45&gt;=7,"Potential Loyal Customers",H45&gt;=4,"Need Attention",TRUE,"At Risk")</f>
        <v>Potential Loyal Customers</v>
      </c>
    </row>
    <row r="46" spans="1:9">
      <c r="A46" s="1" t="s">
        <v>171</v>
      </c>
      <c r="B46" s="9">
        <v>118.590868055602</v>
      </c>
      <c r="C46" s="1">
        <v>4</v>
      </c>
      <c r="D46" s="4">
        <v>90.01</v>
      </c>
      <c r="E46" s="1" cm="1">
        <f t="array" ref="E46">_xlfn.IFS(B46&lt;=_xlfn.PERCENTILE.INC($B$2:$B$288,0.2),5,B46&lt;=_xlfn.PERCENTILE.INC($B$2:$B$288,0.4),4,B46&lt;=_xlfn.PERCENTILE.INC($B$2:$B$288,0.6),3,B46&lt;=_xlfn.PERCENTILE.INC($B$2:$B$288,0.8),2,TRUE,1)</f>
        <v>2</v>
      </c>
      <c r="F46" s="1" cm="1">
        <f t="array" ref="F46">_xlfn.IFS(C46&gt;=_xlfn.PERCENTILE.INC($C$2:$C$288,0.8),5,C46&gt;=_xlfn.PERCENTILE.INC($C$2:$C$288,0.6),4,C46&gt;=_xlfn.PERCENTILE.INC($C$2:$C$288,0.4),3,C46&gt;=_xlfn.PERCENTILE.INC($C$2:$C$288,0.2),2,TRUE,1)</f>
        <v>4</v>
      </c>
      <c r="G46" s="1" cm="1">
        <f t="array" ref="G46">_xlfn.IFS(D46&gt;=_xlfn.PERCENTILE.INC($D$2:$D$288,0.8),5,D46&gt;=_xlfn.PERCENTILE.INC($D$2:$D$288,0.6),4,D46&gt;=_xlfn.PERCENTILE.INC($D$2:$D$288,0.4),3,D46&gt;=_xlfn.PERCENTILE.INC($D$2:$D$288,0.2),2,TRUE,1)</f>
        <v>4</v>
      </c>
      <c r="H46" s="1">
        <f t="shared" si="0"/>
        <v>10</v>
      </c>
      <c r="I46" s="1" t="str" cm="1">
        <f t="array" ref="I46">_xlfn.IFS(H46&gt;=13,"Best Customers",H46&gt;=10,"Loyal Customers",H46&gt;=7,"Potential Loyal Customers",H46&gt;=4,"Need Attention",TRUE,"At Risk")</f>
        <v>Loyal Customers</v>
      </c>
    </row>
    <row r="47" spans="1:9">
      <c r="A47" s="1" t="s">
        <v>289</v>
      </c>
      <c r="B47" s="9">
        <v>195.59086805560199</v>
      </c>
      <c r="C47" s="1">
        <v>4</v>
      </c>
      <c r="D47" s="4">
        <v>32.14</v>
      </c>
      <c r="E47" s="1" cm="1">
        <f t="array" ref="E47">_xlfn.IFS(B47&lt;=_xlfn.PERCENTILE.INC($B$2:$B$288,0.2),5,B47&lt;=_xlfn.PERCENTILE.INC($B$2:$B$288,0.4),4,B47&lt;=_xlfn.PERCENTILE.INC($B$2:$B$288,0.6),3,B47&lt;=_xlfn.PERCENTILE.INC($B$2:$B$288,0.8),2,TRUE,1)</f>
        <v>1</v>
      </c>
      <c r="F47" s="1" cm="1">
        <f t="array" ref="F47">_xlfn.IFS(C47&gt;=_xlfn.PERCENTILE.INC($C$2:$C$288,0.8),5,C47&gt;=_xlfn.PERCENTILE.INC($C$2:$C$288,0.6),4,C47&gt;=_xlfn.PERCENTILE.INC($C$2:$C$288,0.4),3,C47&gt;=_xlfn.PERCENTILE.INC($C$2:$C$288,0.2),2,TRUE,1)</f>
        <v>4</v>
      </c>
      <c r="G47" s="1" cm="1">
        <f t="array" ref="G47">_xlfn.IFS(D47&gt;=_xlfn.PERCENTILE.INC($D$2:$D$288,0.8),5,D47&gt;=_xlfn.PERCENTILE.INC($D$2:$D$288,0.6),4,D47&gt;=_xlfn.PERCENTILE.INC($D$2:$D$288,0.4),3,D47&gt;=_xlfn.PERCENTILE.INC($D$2:$D$288,0.2),2,TRUE,1)</f>
        <v>2</v>
      </c>
      <c r="H47" s="1">
        <f t="shared" si="0"/>
        <v>7</v>
      </c>
      <c r="I47" s="1" t="str" cm="1">
        <f t="array" ref="I47">_xlfn.IFS(H47&gt;=13,"Best Customers",H47&gt;=10,"Loyal Customers",H47&gt;=7,"Potential Loyal Customers",H47&gt;=4,"Need Attention",TRUE,"At Risk")</f>
        <v>Potential Loyal Customers</v>
      </c>
    </row>
    <row r="48" spans="1:9">
      <c r="A48" s="1" t="s">
        <v>898</v>
      </c>
      <c r="B48" s="9">
        <v>148.59086805560199</v>
      </c>
      <c r="C48" s="1">
        <v>3</v>
      </c>
      <c r="D48" s="4">
        <v>32.49</v>
      </c>
      <c r="E48" s="1" cm="1">
        <f t="array" ref="E48">_xlfn.IFS(B48&lt;=_xlfn.PERCENTILE.INC($B$2:$B$288,0.2),5,B48&lt;=_xlfn.PERCENTILE.INC($B$2:$B$288,0.4),4,B48&lt;=_xlfn.PERCENTILE.INC($B$2:$B$288,0.6),3,B48&lt;=_xlfn.PERCENTILE.INC($B$2:$B$288,0.8),2,TRUE,1)</f>
        <v>2</v>
      </c>
      <c r="F48" s="1" cm="1">
        <f t="array" ref="F48">_xlfn.IFS(C48&gt;=_xlfn.PERCENTILE.INC($C$2:$C$288,0.8),5,C48&gt;=_xlfn.PERCENTILE.INC($C$2:$C$288,0.6),4,C48&gt;=_xlfn.PERCENTILE.INC($C$2:$C$288,0.4),3,C48&gt;=_xlfn.PERCENTILE.INC($C$2:$C$288,0.2),2,TRUE,1)</f>
        <v>3</v>
      </c>
      <c r="G48" s="1" cm="1">
        <f t="array" ref="G48">_xlfn.IFS(D48&gt;=_xlfn.PERCENTILE.INC($D$2:$D$288,0.8),5,D48&gt;=_xlfn.PERCENTILE.INC($D$2:$D$288,0.6),4,D48&gt;=_xlfn.PERCENTILE.INC($D$2:$D$288,0.4),3,D48&gt;=_xlfn.PERCENTILE.INC($D$2:$D$288,0.2),2,TRUE,1)</f>
        <v>2</v>
      </c>
      <c r="H48" s="1">
        <f t="shared" si="0"/>
        <v>7</v>
      </c>
      <c r="I48" s="1" t="str" cm="1">
        <f t="array" ref="I48">_xlfn.IFS(H48&gt;=13,"Best Customers",H48&gt;=10,"Loyal Customers",H48&gt;=7,"Potential Loyal Customers",H48&gt;=4,"Need Attention",TRUE,"At Risk")</f>
        <v>Potential Loyal Customers</v>
      </c>
    </row>
    <row r="49" spans="1:9">
      <c r="A49" s="1" t="s">
        <v>223</v>
      </c>
      <c r="B49" s="9">
        <v>72.590868055602201</v>
      </c>
      <c r="C49" s="1">
        <v>3</v>
      </c>
      <c r="D49" s="4">
        <v>86.68</v>
      </c>
      <c r="E49" s="1" cm="1">
        <f t="array" ref="E49">_xlfn.IFS(B49&lt;=_xlfn.PERCENTILE.INC($B$2:$B$288,0.2),5,B49&lt;=_xlfn.PERCENTILE.INC($B$2:$B$288,0.4),4,B49&lt;=_xlfn.PERCENTILE.INC($B$2:$B$288,0.6),3,B49&lt;=_xlfn.PERCENTILE.INC($B$2:$B$288,0.8),2,TRUE,1)</f>
        <v>3</v>
      </c>
      <c r="F49" s="1" cm="1">
        <f t="array" ref="F49">_xlfn.IFS(C49&gt;=_xlfn.PERCENTILE.INC($C$2:$C$288,0.8),5,C49&gt;=_xlfn.PERCENTILE.INC($C$2:$C$288,0.6),4,C49&gt;=_xlfn.PERCENTILE.INC($C$2:$C$288,0.4),3,C49&gt;=_xlfn.PERCENTILE.INC($C$2:$C$288,0.2),2,TRUE,1)</f>
        <v>3</v>
      </c>
      <c r="G49" s="1" cm="1">
        <f t="array" ref="G49">_xlfn.IFS(D49&gt;=_xlfn.PERCENTILE.INC($D$2:$D$288,0.8),5,D49&gt;=_xlfn.PERCENTILE.INC($D$2:$D$288,0.6),4,D49&gt;=_xlfn.PERCENTILE.INC($D$2:$D$288,0.4),3,D49&gt;=_xlfn.PERCENTILE.INC($D$2:$D$288,0.2),2,TRUE,1)</f>
        <v>4</v>
      </c>
      <c r="H49" s="1">
        <f t="shared" si="0"/>
        <v>10</v>
      </c>
      <c r="I49" s="1" t="str" cm="1">
        <f t="array" ref="I49">_xlfn.IFS(H49&gt;=13,"Best Customers",H49&gt;=10,"Loyal Customers",H49&gt;=7,"Potential Loyal Customers",H49&gt;=4,"Need Attention",TRUE,"At Risk")</f>
        <v>Loyal Customers</v>
      </c>
    </row>
    <row r="50" spans="1:9">
      <c r="A50" s="1" t="s">
        <v>677</v>
      </c>
      <c r="B50" s="9">
        <v>47.590868055602201</v>
      </c>
      <c r="C50" s="1">
        <v>2</v>
      </c>
      <c r="D50" s="4">
        <v>52.57</v>
      </c>
      <c r="E50" s="1" cm="1">
        <f t="array" ref="E50">_xlfn.IFS(B50&lt;=_xlfn.PERCENTILE.INC($B$2:$B$288,0.2),5,B50&lt;=_xlfn.PERCENTILE.INC($B$2:$B$288,0.4),4,B50&lt;=_xlfn.PERCENTILE.INC($B$2:$B$288,0.6),3,B50&lt;=_xlfn.PERCENTILE.INC($B$2:$B$288,0.8),2,TRUE,1)</f>
        <v>4</v>
      </c>
      <c r="F50" s="1" cm="1">
        <f t="array" ref="F50">_xlfn.IFS(C50&gt;=_xlfn.PERCENTILE.INC($C$2:$C$288,0.8),5,C50&gt;=_xlfn.PERCENTILE.INC($C$2:$C$288,0.6),4,C50&gt;=_xlfn.PERCENTILE.INC($C$2:$C$288,0.4),3,C50&gt;=_xlfn.PERCENTILE.INC($C$2:$C$288,0.2),2,TRUE,1)</f>
        <v>2</v>
      </c>
      <c r="G50" s="1" cm="1">
        <f t="array" ref="G50">_xlfn.IFS(D50&gt;=_xlfn.PERCENTILE.INC($D$2:$D$288,0.8),5,D50&gt;=_xlfn.PERCENTILE.INC($D$2:$D$288,0.6),4,D50&gt;=_xlfn.PERCENTILE.INC($D$2:$D$288,0.4),3,D50&gt;=_xlfn.PERCENTILE.INC($D$2:$D$288,0.2),2,TRUE,1)</f>
        <v>3</v>
      </c>
      <c r="H50" s="1">
        <f t="shared" si="0"/>
        <v>9</v>
      </c>
      <c r="I50" s="1" t="str" cm="1">
        <f t="array" ref="I50">_xlfn.IFS(H50&gt;=13,"Best Customers",H50&gt;=10,"Loyal Customers",H50&gt;=7,"Potential Loyal Customers",H50&gt;=4,"Need Attention",TRUE,"At Risk")</f>
        <v>Potential Loyal Customers</v>
      </c>
    </row>
    <row r="51" spans="1:9">
      <c r="A51" s="1" t="s">
        <v>420</v>
      </c>
      <c r="B51" s="9">
        <v>19.590868055602201</v>
      </c>
      <c r="C51" s="1">
        <v>2</v>
      </c>
      <c r="D51" s="4">
        <v>13.86</v>
      </c>
      <c r="E51" s="1" cm="1">
        <f t="array" ref="E51">_xlfn.IFS(B51&lt;=_xlfn.PERCENTILE.INC($B$2:$B$288,0.2),5,B51&lt;=_xlfn.PERCENTILE.INC($B$2:$B$288,0.4),4,B51&lt;=_xlfn.PERCENTILE.INC($B$2:$B$288,0.6),3,B51&lt;=_xlfn.PERCENTILE.INC($B$2:$B$288,0.8),2,TRUE,1)</f>
        <v>5</v>
      </c>
      <c r="F51" s="1" cm="1">
        <f t="array" ref="F51">_xlfn.IFS(C51&gt;=_xlfn.PERCENTILE.INC($C$2:$C$288,0.8),5,C51&gt;=_xlfn.PERCENTILE.INC($C$2:$C$288,0.6),4,C51&gt;=_xlfn.PERCENTILE.INC($C$2:$C$288,0.4),3,C51&gt;=_xlfn.PERCENTILE.INC($C$2:$C$288,0.2),2,TRUE,1)</f>
        <v>2</v>
      </c>
      <c r="G51" s="1" cm="1">
        <f t="array" ref="G51">_xlfn.IFS(D51&gt;=_xlfn.PERCENTILE.INC($D$2:$D$288,0.8),5,D51&gt;=_xlfn.PERCENTILE.INC($D$2:$D$288,0.6),4,D51&gt;=_xlfn.PERCENTILE.INC($D$2:$D$288,0.4),3,D51&gt;=_xlfn.PERCENTILE.INC($D$2:$D$288,0.2),2,TRUE,1)</f>
        <v>1</v>
      </c>
      <c r="H51" s="1">
        <f t="shared" si="0"/>
        <v>8</v>
      </c>
      <c r="I51" s="1" t="str" cm="1">
        <f t="array" ref="I51">_xlfn.IFS(H51&gt;=13,"Best Customers",H51&gt;=10,"Loyal Customers",H51&gt;=7,"Potential Loyal Customers",H51&gt;=4,"Need Attention",TRUE,"At Risk")</f>
        <v>Potential Loyal Customers</v>
      </c>
    </row>
    <row r="52" spans="1:9">
      <c r="A52" s="1" t="s">
        <v>355</v>
      </c>
      <c r="B52" s="9">
        <v>93.590868055602201</v>
      </c>
      <c r="C52" s="1">
        <v>2</v>
      </c>
      <c r="D52" s="4">
        <v>14.21</v>
      </c>
      <c r="E52" s="1" cm="1">
        <f t="array" ref="E52">_xlfn.IFS(B52&lt;=_xlfn.PERCENTILE.INC($B$2:$B$288,0.2),5,B52&lt;=_xlfn.PERCENTILE.INC($B$2:$B$288,0.4),4,B52&lt;=_xlfn.PERCENTILE.INC($B$2:$B$288,0.6),3,B52&lt;=_xlfn.PERCENTILE.INC($B$2:$B$288,0.8),2,TRUE,1)</f>
        <v>3</v>
      </c>
      <c r="F52" s="1" cm="1">
        <f t="array" ref="F52">_xlfn.IFS(C52&gt;=_xlfn.PERCENTILE.INC($C$2:$C$288,0.8),5,C52&gt;=_xlfn.PERCENTILE.INC($C$2:$C$288,0.6),4,C52&gt;=_xlfn.PERCENTILE.INC($C$2:$C$288,0.4),3,C52&gt;=_xlfn.PERCENTILE.INC($C$2:$C$288,0.2),2,TRUE,1)</f>
        <v>2</v>
      </c>
      <c r="G52" s="1" cm="1">
        <f t="array" ref="G52">_xlfn.IFS(D52&gt;=_xlfn.PERCENTILE.INC($D$2:$D$288,0.8),5,D52&gt;=_xlfn.PERCENTILE.INC($D$2:$D$288,0.6),4,D52&gt;=_xlfn.PERCENTILE.INC($D$2:$D$288,0.4),3,D52&gt;=_xlfn.PERCENTILE.INC($D$2:$D$288,0.2),2,TRUE,1)</f>
        <v>1</v>
      </c>
      <c r="H52" s="1">
        <f t="shared" si="0"/>
        <v>6</v>
      </c>
      <c r="I52" s="1" t="str" cm="1">
        <f t="array" ref="I52">_xlfn.IFS(H52&gt;=13,"Best Customers",H52&gt;=10,"Loyal Customers",H52&gt;=7,"Potential Loyal Customers",H52&gt;=4,"Need Attention",TRUE,"At Risk")</f>
        <v>Need Attention</v>
      </c>
    </row>
    <row r="53" spans="1:9">
      <c r="A53" s="1" t="s">
        <v>241</v>
      </c>
      <c r="B53" s="9">
        <v>109.590868055602</v>
      </c>
      <c r="C53" s="1">
        <v>5</v>
      </c>
      <c r="D53" s="4">
        <v>81.3</v>
      </c>
      <c r="E53" s="1" cm="1">
        <f t="array" ref="E53">_xlfn.IFS(B53&lt;=_xlfn.PERCENTILE.INC($B$2:$B$288,0.2),5,B53&lt;=_xlfn.PERCENTILE.INC($B$2:$B$288,0.4),4,B53&lt;=_xlfn.PERCENTILE.INC($B$2:$B$288,0.6),3,B53&lt;=_xlfn.PERCENTILE.INC($B$2:$B$288,0.8),2,TRUE,1)</f>
        <v>2</v>
      </c>
      <c r="F53" s="1" cm="1">
        <f t="array" ref="F53">_xlfn.IFS(C53&gt;=_xlfn.PERCENTILE.INC($C$2:$C$288,0.8),5,C53&gt;=_xlfn.PERCENTILE.INC($C$2:$C$288,0.6),4,C53&gt;=_xlfn.PERCENTILE.INC($C$2:$C$288,0.4),3,C53&gt;=_xlfn.PERCENTILE.INC($C$2:$C$288,0.2),2,TRUE,1)</f>
        <v>5</v>
      </c>
      <c r="G53" s="1" cm="1">
        <f t="array" ref="G53">_xlfn.IFS(D53&gt;=_xlfn.PERCENTILE.INC($D$2:$D$288,0.8),5,D53&gt;=_xlfn.PERCENTILE.INC($D$2:$D$288,0.6),4,D53&gt;=_xlfn.PERCENTILE.INC($D$2:$D$288,0.4),3,D53&gt;=_xlfn.PERCENTILE.INC($D$2:$D$288,0.2),2,TRUE,1)</f>
        <v>4</v>
      </c>
      <c r="H53" s="1">
        <f t="shared" si="0"/>
        <v>11</v>
      </c>
      <c r="I53" s="1" t="str" cm="1">
        <f t="array" ref="I53">_xlfn.IFS(H53&gt;=13,"Best Customers",H53&gt;=10,"Loyal Customers",H53&gt;=7,"Potential Loyal Customers",H53&gt;=4,"Need Attention",TRUE,"At Risk")</f>
        <v>Loyal Customers</v>
      </c>
    </row>
    <row r="54" spans="1:9">
      <c r="A54" s="1" t="s">
        <v>754</v>
      </c>
      <c r="B54" s="9">
        <v>25.590868055602201</v>
      </c>
      <c r="C54" s="1">
        <v>1</v>
      </c>
      <c r="D54" s="4">
        <v>10.48</v>
      </c>
      <c r="E54" s="1" cm="1">
        <f t="array" ref="E54">_xlfn.IFS(B54&lt;=_xlfn.PERCENTILE.INC($B$2:$B$288,0.2),5,B54&lt;=_xlfn.PERCENTILE.INC($B$2:$B$288,0.4),4,B54&lt;=_xlfn.PERCENTILE.INC($B$2:$B$288,0.6),3,B54&lt;=_xlfn.PERCENTILE.INC($B$2:$B$288,0.8),2,TRUE,1)</f>
        <v>4</v>
      </c>
      <c r="F54" s="1" cm="1">
        <f t="array" ref="F54">_xlfn.IFS(C54&gt;=_xlfn.PERCENTILE.INC($C$2:$C$288,0.8),5,C54&gt;=_xlfn.PERCENTILE.INC($C$2:$C$288,0.6),4,C54&gt;=_xlfn.PERCENTILE.INC($C$2:$C$288,0.4),3,C54&gt;=_xlfn.PERCENTILE.INC($C$2:$C$288,0.2),2,TRUE,1)</f>
        <v>1</v>
      </c>
      <c r="G54" s="1" cm="1">
        <f t="array" ref="G54">_xlfn.IFS(D54&gt;=_xlfn.PERCENTILE.INC($D$2:$D$288,0.8),5,D54&gt;=_xlfn.PERCENTILE.INC($D$2:$D$288,0.6),4,D54&gt;=_xlfn.PERCENTILE.INC($D$2:$D$288,0.4),3,D54&gt;=_xlfn.PERCENTILE.INC($D$2:$D$288,0.2),2,TRUE,1)</f>
        <v>1</v>
      </c>
      <c r="H54" s="1">
        <f t="shared" si="0"/>
        <v>6</v>
      </c>
      <c r="I54" s="1" t="str" cm="1">
        <f t="array" ref="I54">_xlfn.IFS(H54&gt;=13,"Best Customers",H54&gt;=10,"Loyal Customers",H54&gt;=7,"Potential Loyal Customers",H54&gt;=4,"Need Attention",TRUE,"At Risk")</f>
        <v>Need Attention</v>
      </c>
    </row>
    <row r="55" spans="1:9">
      <c r="A55" s="1" t="s">
        <v>568</v>
      </c>
      <c r="B55" s="9">
        <v>109.590868055602</v>
      </c>
      <c r="C55" s="1">
        <v>1</v>
      </c>
      <c r="D55" s="4">
        <v>24.63</v>
      </c>
      <c r="E55" s="1" cm="1">
        <f t="array" ref="E55">_xlfn.IFS(B55&lt;=_xlfn.PERCENTILE.INC($B$2:$B$288,0.2),5,B55&lt;=_xlfn.PERCENTILE.INC($B$2:$B$288,0.4),4,B55&lt;=_xlfn.PERCENTILE.INC($B$2:$B$288,0.6),3,B55&lt;=_xlfn.PERCENTILE.INC($B$2:$B$288,0.8),2,TRUE,1)</f>
        <v>2</v>
      </c>
      <c r="F55" s="1" cm="1">
        <f t="array" ref="F55">_xlfn.IFS(C55&gt;=_xlfn.PERCENTILE.INC($C$2:$C$288,0.8),5,C55&gt;=_xlfn.PERCENTILE.INC($C$2:$C$288,0.6),4,C55&gt;=_xlfn.PERCENTILE.INC($C$2:$C$288,0.4),3,C55&gt;=_xlfn.PERCENTILE.INC($C$2:$C$288,0.2),2,TRUE,1)</f>
        <v>1</v>
      </c>
      <c r="G55" s="1" cm="1">
        <f t="array" ref="G55">_xlfn.IFS(D55&gt;=_xlfn.PERCENTILE.INC($D$2:$D$288,0.8),5,D55&gt;=_xlfn.PERCENTILE.INC($D$2:$D$288,0.6),4,D55&gt;=_xlfn.PERCENTILE.INC($D$2:$D$288,0.4),3,D55&gt;=_xlfn.PERCENTILE.INC($D$2:$D$288,0.2),2,TRUE,1)</f>
        <v>1</v>
      </c>
      <c r="H55" s="1">
        <f t="shared" si="0"/>
        <v>4</v>
      </c>
      <c r="I55" s="1" t="str" cm="1">
        <f t="array" ref="I55">_xlfn.IFS(H55&gt;=13,"Best Customers",H55&gt;=10,"Loyal Customers",H55&gt;=7,"Potential Loyal Customers",H55&gt;=4,"Need Attention",TRUE,"At Risk")</f>
        <v>Need Attention</v>
      </c>
    </row>
    <row r="56" spans="1:9">
      <c r="A56" s="1" t="s">
        <v>848</v>
      </c>
      <c r="B56" s="9">
        <v>135.59086805560199</v>
      </c>
      <c r="C56" s="1">
        <v>2</v>
      </c>
      <c r="D56" s="4">
        <v>83.66</v>
      </c>
      <c r="E56" s="1" cm="1">
        <f t="array" ref="E56">_xlfn.IFS(B56&lt;=_xlfn.PERCENTILE.INC($B$2:$B$288,0.2),5,B56&lt;=_xlfn.PERCENTILE.INC($B$2:$B$288,0.4),4,B56&lt;=_xlfn.PERCENTILE.INC($B$2:$B$288,0.6),3,B56&lt;=_xlfn.PERCENTILE.INC($B$2:$B$288,0.8),2,TRUE,1)</f>
        <v>2</v>
      </c>
      <c r="F56" s="1" cm="1">
        <f t="array" ref="F56">_xlfn.IFS(C56&gt;=_xlfn.PERCENTILE.INC($C$2:$C$288,0.8),5,C56&gt;=_xlfn.PERCENTILE.INC($C$2:$C$288,0.6),4,C56&gt;=_xlfn.PERCENTILE.INC($C$2:$C$288,0.4),3,C56&gt;=_xlfn.PERCENTILE.INC($C$2:$C$288,0.2),2,TRUE,1)</f>
        <v>2</v>
      </c>
      <c r="G56" s="1" cm="1">
        <f t="array" ref="G56">_xlfn.IFS(D56&gt;=_xlfn.PERCENTILE.INC($D$2:$D$288,0.8),5,D56&gt;=_xlfn.PERCENTILE.INC($D$2:$D$288,0.6),4,D56&gt;=_xlfn.PERCENTILE.INC($D$2:$D$288,0.4),3,D56&gt;=_xlfn.PERCENTILE.INC($D$2:$D$288,0.2),2,TRUE,1)</f>
        <v>4</v>
      </c>
      <c r="H56" s="1">
        <f t="shared" si="0"/>
        <v>8</v>
      </c>
      <c r="I56" s="1" t="str" cm="1">
        <f t="array" ref="I56">_xlfn.IFS(H56&gt;=13,"Best Customers",H56&gt;=10,"Loyal Customers",H56&gt;=7,"Potential Loyal Customers",H56&gt;=4,"Need Attention",TRUE,"At Risk")</f>
        <v>Potential Loyal Customers</v>
      </c>
    </row>
    <row r="57" spans="1:9">
      <c r="A57" s="1" t="s">
        <v>429</v>
      </c>
      <c r="B57" s="9">
        <v>23.590868055602201</v>
      </c>
      <c r="C57" s="1">
        <v>7</v>
      </c>
      <c r="D57" s="4">
        <v>99.24</v>
      </c>
      <c r="E57" s="1" cm="1">
        <f t="array" ref="E57">_xlfn.IFS(B57&lt;=_xlfn.PERCENTILE.INC($B$2:$B$288,0.2),5,B57&lt;=_xlfn.PERCENTILE.INC($B$2:$B$288,0.4),4,B57&lt;=_xlfn.PERCENTILE.INC($B$2:$B$288,0.6),3,B57&lt;=_xlfn.PERCENTILE.INC($B$2:$B$288,0.8),2,TRUE,1)</f>
        <v>5</v>
      </c>
      <c r="F57" s="1" cm="1">
        <f t="array" ref="F57">_xlfn.IFS(C57&gt;=_xlfn.PERCENTILE.INC($C$2:$C$288,0.8),5,C57&gt;=_xlfn.PERCENTILE.INC($C$2:$C$288,0.6),4,C57&gt;=_xlfn.PERCENTILE.INC($C$2:$C$288,0.4),3,C57&gt;=_xlfn.PERCENTILE.INC($C$2:$C$288,0.2),2,TRUE,1)</f>
        <v>5</v>
      </c>
      <c r="G57" s="1" cm="1">
        <f t="array" ref="G57">_xlfn.IFS(D57&gt;=_xlfn.PERCENTILE.INC($D$2:$D$288,0.8),5,D57&gt;=_xlfn.PERCENTILE.INC($D$2:$D$288,0.6),4,D57&gt;=_xlfn.PERCENTILE.INC($D$2:$D$288,0.4),3,D57&gt;=_xlfn.PERCENTILE.INC($D$2:$D$288,0.2),2,TRUE,1)</f>
        <v>5</v>
      </c>
      <c r="H57" s="1">
        <f t="shared" si="0"/>
        <v>15</v>
      </c>
      <c r="I57" s="1" t="str" cm="1">
        <f t="array" ref="I57">_xlfn.IFS(H57&gt;=13,"Best Customers",H57&gt;=10,"Loyal Customers",H57&gt;=7,"Potential Loyal Customers",H57&gt;=4,"Need Attention",TRUE,"At Risk")</f>
        <v>Best Customers</v>
      </c>
    </row>
    <row r="58" spans="1:9">
      <c r="A58" s="1" t="s">
        <v>60</v>
      </c>
      <c r="B58" s="9">
        <v>26.590868055602201</v>
      </c>
      <c r="C58" s="1">
        <v>4</v>
      </c>
      <c r="D58" s="4">
        <v>88.92</v>
      </c>
      <c r="E58" s="1" cm="1">
        <f t="array" ref="E58">_xlfn.IFS(B58&lt;=_xlfn.PERCENTILE.INC($B$2:$B$288,0.2),5,B58&lt;=_xlfn.PERCENTILE.INC($B$2:$B$288,0.4),4,B58&lt;=_xlfn.PERCENTILE.INC($B$2:$B$288,0.6),3,B58&lt;=_xlfn.PERCENTILE.INC($B$2:$B$288,0.8),2,TRUE,1)</f>
        <v>4</v>
      </c>
      <c r="F58" s="1" cm="1">
        <f t="array" ref="F58">_xlfn.IFS(C58&gt;=_xlfn.PERCENTILE.INC($C$2:$C$288,0.8),5,C58&gt;=_xlfn.PERCENTILE.INC($C$2:$C$288,0.6),4,C58&gt;=_xlfn.PERCENTILE.INC($C$2:$C$288,0.4),3,C58&gt;=_xlfn.PERCENTILE.INC($C$2:$C$288,0.2),2,TRUE,1)</f>
        <v>4</v>
      </c>
      <c r="G58" s="1" cm="1">
        <f t="array" ref="G58">_xlfn.IFS(D58&gt;=_xlfn.PERCENTILE.INC($D$2:$D$288,0.8),5,D58&gt;=_xlfn.PERCENTILE.INC($D$2:$D$288,0.6),4,D58&gt;=_xlfn.PERCENTILE.INC($D$2:$D$288,0.4),3,D58&gt;=_xlfn.PERCENTILE.INC($D$2:$D$288,0.2),2,TRUE,1)</f>
        <v>4</v>
      </c>
      <c r="H58" s="1">
        <f t="shared" si="0"/>
        <v>12</v>
      </c>
      <c r="I58" s="1" t="str" cm="1">
        <f t="array" ref="I58">_xlfn.IFS(H58&gt;=13,"Best Customers",H58&gt;=10,"Loyal Customers",H58&gt;=7,"Potential Loyal Customers",H58&gt;=4,"Need Attention",TRUE,"At Risk")</f>
        <v>Loyal Customers</v>
      </c>
    </row>
    <row r="59" spans="1:9">
      <c r="A59" s="1" t="s">
        <v>546</v>
      </c>
      <c r="B59" s="9">
        <v>211.59086805560199</v>
      </c>
      <c r="C59" s="1">
        <v>3</v>
      </c>
      <c r="D59" s="4">
        <v>46.61</v>
      </c>
      <c r="E59" s="1" cm="1">
        <f t="array" ref="E59">_xlfn.IFS(B59&lt;=_xlfn.PERCENTILE.INC($B$2:$B$288,0.2),5,B59&lt;=_xlfn.PERCENTILE.INC($B$2:$B$288,0.4),4,B59&lt;=_xlfn.PERCENTILE.INC($B$2:$B$288,0.6),3,B59&lt;=_xlfn.PERCENTILE.INC($B$2:$B$288,0.8),2,TRUE,1)</f>
        <v>1</v>
      </c>
      <c r="F59" s="1" cm="1">
        <f t="array" ref="F59">_xlfn.IFS(C59&gt;=_xlfn.PERCENTILE.INC($C$2:$C$288,0.8),5,C59&gt;=_xlfn.PERCENTILE.INC($C$2:$C$288,0.6),4,C59&gt;=_xlfn.PERCENTILE.INC($C$2:$C$288,0.4),3,C59&gt;=_xlfn.PERCENTILE.INC($C$2:$C$288,0.2),2,TRUE,1)</f>
        <v>3</v>
      </c>
      <c r="G59" s="1" cm="1">
        <f t="array" ref="G59">_xlfn.IFS(D59&gt;=_xlfn.PERCENTILE.INC($D$2:$D$288,0.8),5,D59&gt;=_xlfn.PERCENTILE.INC($D$2:$D$288,0.6),4,D59&gt;=_xlfn.PERCENTILE.INC($D$2:$D$288,0.4),3,D59&gt;=_xlfn.PERCENTILE.INC($D$2:$D$288,0.2),2,TRUE,1)</f>
        <v>3</v>
      </c>
      <c r="H59" s="1">
        <f t="shared" si="0"/>
        <v>7</v>
      </c>
      <c r="I59" s="1" t="str" cm="1">
        <f t="array" ref="I59">_xlfn.IFS(H59&gt;=13,"Best Customers",H59&gt;=10,"Loyal Customers",H59&gt;=7,"Potential Loyal Customers",H59&gt;=4,"Need Attention",TRUE,"At Risk")</f>
        <v>Potential Loyal Customers</v>
      </c>
    </row>
    <row r="60" spans="1:9">
      <c r="A60" s="1" t="s">
        <v>80</v>
      </c>
      <c r="B60" s="9">
        <v>175.59086805560199</v>
      </c>
      <c r="C60" s="1">
        <v>3</v>
      </c>
      <c r="D60" s="4">
        <v>51.04</v>
      </c>
      <c r="E60" s="1" cm="1">
        <f t="array" ref="E60">_xlfn.IFS(B60&lt;=_xlfn.PERCENTILE.INC($B$2:$B$288,0.2),5,B60&lt;=_xlfn.PERCENTILE.INC($B$2:$B$288,0.4),4,B60&lt;=_xlfn.PERCENTILE.INC($B$2:$B$288,0.6),3,B60&lt;=_xlfn.PERCENTILE.INC($B$2:$B$288,0.8),2,TRUE,1)</f>
        <v>1</v>
      </c>
      <c r="F60" s="1" cm="1">
        <f t="array" ref="F60">_xlfn.IFS(C60&gt;=_xlfn.PERCENTILE.INC($C$2:$C$288,0.8),5,C60&gt;=_xlfn.PERCENTILE.INC($C$2:$C$288,0.6),4,C60&gt;=_xlfn.PERCENTILE.INC($C$2:$C$288,0.4),3,C60&gt;=_xlfn.PERCENTILE.INC($C$2:$C$288,0.2),2,TRUE,1)</f>
        <v>3</v>
      </c>
      <c r="G60" s="1" cm="1">
        <f t="array" ref="G60">_xlfn.IFS(D60&gt;=_xlfn.PERCENTILE.INC($D$2:$D$288,0.8),5,D60&gt;=_xlfn.PERCENTILE.INC($D$2:$D$288,0.6),4,D60&gt;=_xlfn.PERCENTILE.INC($D$2:$D$288,0.4),3,D60&gt;=_xlfn.PERCENTILE.INC($D$2:$D$288,0.2),2,TRUE,1)</f>
        <v>3</v>
      </c>
      <c r="H60" s="1">
        <f t="shared" si="0"/>
        <v>7</v>
      </c>
      <c r="I60" s="1" t="str" cm="1">
        <f t="array" ref="I60">_xlfn.IFS(H60&gt;=13,"Best Customers",H60&gt;=10,"Loyal Customers",H60&gt;=7,"Potential Loyal Customers",H60&gt;=4,"Need Attention",TRUE,"At Risk")</f>
        <v>Potential Loyal Customers</v>
      </c>
    </row>
    <row r="61" spans="1:9">
      <c r="A61" s="1" t="s">
        <v>106</v>
      </c>
      <c r="B61" s="9">
        <v>122.590868055602</v>
      </c>
      <c r="C61" s="1">
        <v>6</v>
      </c>
      <c r="D61" s="4">
        <v>96.28</v>
      </c>
      <c r="E61" s="1" cm="1">
        <f t="array" ref="E61">_xlfn.IFS(B61&lt;=_xlfn.PERCENTILE.INC($B$2:$B$288,0.2),5,B61&lt;=_xlfn.PERCENTILE.INC($B$2:$B$288,0.4),4,B61&lt;=_xlfn.PERCENTILE.INC($B$2:$B$288,0.6),3,B61&lt;=_xlfn.PERCENTILE.INC($B$2:$B$288,0.8),2,TRUE,1)</f>
        <v>2</v>
      </c>
      <c r="F61" s="1" cm="1">
        <f t="array" ref="F61">_xlfn.IFS(C61&gt;=_xlfn.PERCENTILE.INC($C$2:$C$288,0.8),5,C61&gt;=_xlfn.PERCENTILE.INC($C$2:$C$288,0.6),4,C61&gt;=_xlfn.PERCENTILE.INC($C$2:$C$288,0.4),3,C61&gt;=_xlfn.PERCENTILE.INC($C$2:$C$288,0.2),2,TRUE,1)</f>
        <v>5</v>
      </c>
      <c r="G61" s="1" cm="1">
        <f t="array" ref="G61">_xlfn.IFS(D61&gt;=_xlfn.PERCENTILE.INC($D$2:$D$288,0.8),5,D61&gt;=_xlfn.PERCENTILE.INC($D$2:$D$288,0.6),4,D61&gt;=_xlfn.PERCENTILE.INC($D$2:$D$288,0.4),3,D61&gt;=_xlfn.PERCENTILE.INC($D$2:$D$288,0.2),2,TRUE,1)</f>
        <v>5</v>
      </c>
      <c r="H61" s="1">
        <f t="shared" si="0"/>
        <v>12</v>
      </c>
      <c r="I61" s="1" t="str" cm="1">
        <f t="array" ref="I61">_xlfn.IFS(H61&gt;=13,"Best Customers",H61&gt;=10,"Loyal Customers",H61&gt;=7,"Potential Loyal Customers",H61&gt;=4,"Need Attention",TRUE,"At Risk")</f>
        <v>Loyal Customers</v>
      </c>
    </row>
    <row r="62" spans="1:9">
      <c r="A62" s="1" t="s">
        <v>497</v>
      </c>
      <c r="B62" s="9">
        <v>18.590868055602201</v>
      </c>
      <c r="C62" s="1">
        <v>3</v>
      </c>
      <c r="D62" s="4">
        <v>49.8</v>
      </c>
      <c r="E62" s="1" cm="1">
        <f t="array" ref="E62">_xlfn.IFS(B62&lt;=_xlfn.PERCENTILE.INC($B$2:$B$288,0.2),5,B62&lt;=_xlfn.PERCENTILE.INC($B$2:$B$288,0.4),4,B62&lt;=_xlfn.PERCENTILE.INC($B$2:$B$288,0.6),3,B62&lt;=_xlfn.PERCENTILE.INC($B$2:$B$288,0.8),2,TRUE,1)</f>
        <v>5</v>
      </c>
      <c r="F62" s="1" cm="1">
        <f t="array" ref="F62">_xlfn.IFS(C62&gt;=_xlfn.PERCENTILE.INC($C$2:$C$288,0.8),5,C62&gt;=_xlfn.PERCENTILE.INC($C$2:$C$288,0.6),4,C62&gt;=_xlfn.PERCENTILE.INC($C$2:$C$288,0.4),3,C62&gt;=_xlfn.PERCENTILE.INC($C$2:$C$288,0.2),2,TRUE,1)</f>
        <v>3</v>
      </c>
      <c r="G62" s="1" cm="1">
        <f t="array" ref="G62">_xlfn.IFS(D62&gt;=_xlfn.PERCENTILE.INC($D$2:$D$288,0.8),5,D62&gt;=_xlfn.PERCENTILE.INC($D$2:$D$288,0.6),4,D62&gt;=_xlfn.PERCENTILE.INC($D$2:$D$288,0.4),3,D62&gt;=_xlfn.PERCENTILE.INC($D$2:$D$288,0.2),2,TRUE,1)</f>
        <v>3</v>
      </c>
      <c r="H62" s="1">
        <f t="shared" si="0"/>
        <v>11</v>
      </c>
      <c r="I62" s="1" t="str" cm="1">
        <f t="array" ref="I62">_xlfn.IFS(H62&gt;=13,"Best Customers",H62&gt;=10,"Loyal Customers",H62&gt;=7,"Potential Loyal Customers",H62&gt;=4,"Need Attention",TRUE,"At Risk")</f>
        <v>Loyal Customers</v>
      </c>
    </row>
    <row r="63" spans="1:9">
      <c r="A63" s="1" t="s">
        <v>652</v>
      </c>
      <c r="B63" s="9">
        <v>0.59086805560218603</v>
      </c>
      <c r="C63" s="1">
        <v>2</v>
      </c>
      <c r="D63" s="4">
        <v>23.78</v>
      </c>
      <c r="E63" s="1" cm="1">
        <f t="array" ref="E63">_xlfn.IFS(B63&lt;=_xlfn.PERCENTILE.INC($B$2:$B$288,0.2),5,B63&lt;=_xlfn.PERCENTILE.INC($B$2:$B$288,0.4),4,B63&lt;=_xlfn.PERCENTILE.INC($B$2:$B$288,0.6),3,B63&lt;=_xlfn.PERCENTILE.INC($B$2:$B$288,0.8),2,TRUE,1)</f>
        <v>5</v>
      </c>
      <c r="F63" s="1" cm="1">
        <f t="array" ref="F63">_xlfn.IFS(C63&gt;=_xlfn.PERCENTILE.INC($C$2:$C$288,0.8),5,C63&gt;=_xlfn.PERCENTILE.INC($C$2:$C$288,0.6),4,C63&gt;=_xlfn.PERCENTILE.INC($C$2:$C$288,0.4),3,C63&gt;=_xlfn.PERCENTILE.INC($C$2:$C$288,0.2),2,TRUE,1)</f>
        <v>2</v>
      </c>
      <c r="G63" s="1" cm="1">
        <f t="array" ref="G63">_xlfn.IFS(D63&gt;=_xlfn.PERCENTILE.INC($D$2:$D$288,0.8),5,D63&gt;=_xlfn.PERCENTILE.INC($D$2:$D$288,0.6),4,D63&gt;=_xlfn.PERCENTILE.INC($D$2:$D$288,0.4),3,D63&gt;=_xlfn.PERCENTILE.INC($D$2:$D$288,0.2),2,TRUE,1)</f>
        <v>1</v>
      </c>
      <c r="H63" s="1">
        <f t="shared" si="0"/>
        <v>8</v>
      </c>
      <c r="I63" s="1" t="str" cm="1">
        <f t="array" ref="I63">_xlfn.IFS(H63&gt;=13,"Best Customers",H63&gt;=10,"Loyal Customers",H63&gt;=7,"Potential Loyal Customers",H63&gt;=4,"Need Attention",TRUE,"At Risk")</f>
        <v>Potential Loyal Customers</v>
      </c>
    </row>
    <row r="64" spans="1:9">
      <c r="A64" s="1" t="s">
        <v>1030</v>
      </c>
      <c r="B64" s="9">
        <v>7.5908680556021899</v>
      </c>
      <c r="C64" s="1">
        <v>2</v>
      </c>
      <c r="D64" s="4">
        <v>56.19</v>
      </c>
      <c r="E64" s="1" cm="1">
        <f t="array" ref="E64">_xlfn.IFS(B64&lt;=_xlfn.PERCENTILE.INC($B$2:$B$288,0.2),5,B64&lt;=_xlfn.PERCENTILE.INC($B$2:$B$288,0.4),4,B64&lt;=_xlfn.PERCENTILE.INC($B$2:$B$288,0.6),3,B64&lt;=_xlfn.PERCENTILE.INC($B$2:$B$288,0.8),2,TRUE,1)</f>
        <v>5</v>
      </c>
      <c r="F64" s="1" cm="1">
        <f t="array" ref="F64">_xlfn.IFS(C64&gt;=_xlfn.PERCENTILE.INC($C$2:$C$288,0.8),5,C64&gt;=_xlfn.PERCENTILE.INC($C$2:$C$288,0.6),4,C64&gt;=_xlfn.PERCENTILE.INC($C$2:$C$288,0.4),3,C64&gt;=_xlfn.PERCENTILE.INC($C$2:$C$288,0.2),2,TRUE,1)</f>
        <v>2</v>
      </c>
      <c r="G64" s="1" cm="1">
        <f t="array" ref="G64">_xlfn.IFS(D64&gt;=_xlfn.PERCENTILE.INC($D$2:$D$288,0.8),5,D64&gt;=_xlfn.PERCENTILE.INC($D$2:$D$288,0.6),4,D64&gt;=_xlfn.PERCENTILE.INC($D$2:$D$288,0.4),3,D64&gt;=_xlfn.PERCENTILE.INC($D$2:$D$288,0.2),2,TRUE,1)</f>
        <v>3</v>
      </c>
      <c r="H64" s="1">
        <f t="shared" si="0"/>
        <v>10</v>
      </c>
      <c r="I64" s="1" t="str" cm="1">
        <f t="array" ref="I64">_xlfn.IFS(H64&gt;=13,"Best Customers",H64&gt;=10,"Loyal Customers",H64&gt;=7,"Potential Loyal Customers",H64&gt;=4,"Need Attention",TRUE,"At Risk")</f>
        <v>Loyal Customers</v>
      </c>
    </row>
    <row r="65" spans="1:9">
      <c r="A65" s="1" t="s">
        <v>124</v>
      </c>
      <c r="B65" s="9">
        <v>252.59086805560199</v>
      </c>
      <c r="C65" s="1">
        <v>2</v>
      </c>
      <c r="D65" s="4">
        <v>50.21</v>
      </c>
      <c r="E65" s="1" cm="1">
        <f t="array" ref="E65">_xlfn.IFS(B65&lt;=_xlfn.PERCENTILE.INC($B$2:$B$288,0.2),5,B65&lt;=_xlfn.PERCENTILE.INC($B$2:$B$288,0.4),4,B65&lt;=_xlfn.PERCENTILE.INC($B$2:$B$288,0.6),3,B65&lt;=_xlfn.PERCENTILE.INC($B$2:$B$288,0.8),2,TRUE,1)</f>
        <v>1</v>
      </c>
      <c r="F65" s="1" cm="1">
        <f t="array" ref="F65">_xlfn.IFS(C65&gt;=_xlfn.PERCENTILE.INC($C$2:$C$288,0.8),5,C65&gt;=_xlfn.PERCENTILE.INC($C$2:$C$288,0.6),4,C65&gt;=_xlfn.PERCENTILE.INC($C$2:$C$288,0.4),3,C65&gt;=_xlfn.PERCENTILE.INC($C$2:$C$288,0.2),2,TRUE,1)</f>
        <v>2</v>
      </c>
      <c r="G65" s="1" cm="1">
        <f t="array" ref="G65">_xlfn.IFS(D65&gt;=_xlfn.PERCENTILE.INC($D$2:$D$288,0.8),5,D65&gt;=_xlfn.PERCENTILE.INC($D$2:$D$288,0.6),4,D65&gt;=_xlfn.PERCENTILE.INC($D$2:$D$288,0.4),3,D65&gt;=_xlfn.PERCENTILE.INC($D$2:$D$288,0.2),2,TRUE,1)</f>
        <v>3</v>
      </c>
      <c r="H65" s="1">
        <f t="shared" si="0"/>
        <v>6</v>
      </c>
      <c r="I65" s="1" t="str" cm="1">
        <f t="array" ref="I65">_xlfn.IFS(H65&gt;=13,"Best Customers",H65&gt;=10,"Loyal Customers",H65&gt;=7,"Potential Loyal Customers",H65&gt;=4,"Need Attention",TRUE,"At Risk")</f>
        <v>Need Attention</v>
      </c>
    </row>
    <row r="66" spans="1:9">
      <c r="A66" s="1" t="s">
        <v>719</v>
      </c>
      <c r="B66" s="9">
        <v>147.59086805560199</v>
      </c>
      <c r="C66" s="1">
        <v>2</v>
      </c>
      <c r="D66" s="4">
        <v>40.29</v>
      </c>
      <c r="E66" s="1" cm="1">
        <f t="array" ref="E66">_xlfn.IFS(B66&lt;=_xlfn.PERCENTILE.INC($B$2:$B$288,0.2),5,B66&lt;=_xlfn.PERCENTILE.INC($B$2:$B$288,0.4),4,B66&lt;=_xlfn.PERCENTILE.INC($B$2:$B$288,0.6),3,B66&lt;=_xlfn.PERCENTILE.INC($B$2:$B$288,0.8),2,TRUE,1)</f>
        <v>2</v>
      </c>
      <c r="F66" s="1" cm="1">
        <f t="array" ref="F66">_xlfn.IFS(C66&gt;=_xlfn.PERCENTILE.INC($C$2:$C$288,0.8),5,C66&gt;=_xlfn.PERCENTILE.INC($C$2:$C$288,0.6),4,C66&gt;=_xlfn.PERCENTILE.INC($C$2:$C$288,0.4),3,C66&gt;=_xlfn.PERCENTILE.INC($C$2:$C$288,0.2),2,TRUE,1)</f>
        <v>2</v>
      </c>
      <c r="G66" s="1" cm="1">
        <f t="array" ref="G66">_xlfn.IFS(D66&gt;=_xlfn.PERCENTILE.INC($D$2:$D$288,0.8),5,D66&gt;=_xlfn.PERCENTILE.INC($D$2:$D$288,0.6),4,D66&gt;=_xlfn.PERCENTILE.INC($D$2:$D$288,0.4),3,D66&gt;=_xlfn.PERCENTILE.INC($D$2:$D$288,0.2),2,TRUE,1)</f>
        <v>2</v>
      </c>
      <c r="H66" s="1">
        <f t="shared" si="0"/>
        <v>6</v>
      </c>
      <c r="I66" s="1" t="str" cm="1">
        <f t="array" ref="I66">_xlfn.IFS(H66&gt;=13,"Best Customers",H66&gt;=10,"Loyal Customers",H66&gt;=7,"Potential Loyal Customers",H66&gt;=4,"Need Attention",TRUE,"At Risk")</f>
        <v>Need Attention</v>
      </c>
    </row>
    <row r="67" spans="1:9">
      <c r="A67" s="1" t="s">
        <v>45</v>
      </c>
      <c r="B67" s="9">
        <v>56.590868055602201</v>
      </c>
      <c r="C67" s="1">
        <v>5</v>
      </c>
      <c r="D67" s="4">
        <v>56.24</v>
      </c>
      <c r="E67" s="1" cm="1">
        <f t="array" ref="E67">_xlfn.IFS(B67&lt;=_xlfn.PERCENTILE.INC($B$2:$B$288,0.2),5,B67&lt;=_xlfn.PERCENTILE.INC($B$2:$B$288,0.4),4,B67&lt;=_xlfn.PERCENTILE.INC($B$2:$B$288,0.6),3,B67&lt;=_xlfn.PERCENTILE.INC($B$2:$B$288,0.8),2,TRUE,1)</f>
        <v>3</v>
      </c>
      <c r="F67" s="1" cm="1">
        <f t="array" ref="F67">_xlfn.IFS(C67&gt;=_xlfn.PERCENTILE.INC($C$2:$C$288,0.8),5,C67&gt;=_xlfn.PERCENTILE.INC($C$2:$C$288,0.6),4,C67&gt;=_xlfn.PERCENTILE.INC($C$2:$C$288,0.4),3,C67&gt;=_xlfn.PERCENTILE.INC($C$2:$C$288,0.2),2,TRUE,1)</f>
        <v>5</v>
      </c>
      <c r="G67" s="1" cm="1">
        <f t="array" ref="G67">_xlfn.IFS(D67&gt;=_xlfn.PERCENTILE.INC($D$2:$D$288,0.8),5,D67&gt;=_xlfn.PERCENTILE.INC($D$2:$D$288,0.6),4,D67&gt;=_xlfn.PERCENTILE.INC($D$2:$D$288,0.4),3,D67&gt;=_xlfn.PERCENTILE.INC($D$2:$D$288,0.2),2,TRUE,1)</f>
        <v>3</v>
      </c>
      <c r="H67" s="1">
        <f t="shared" ref="H67:H130" si="1">E67+F67+G67</f>
        <v>11</v>
      </c>
      <c r="I67" s="1" t="str" cm="1">
        <f t="array" ref="I67">_xlfn.IFS(H67&gt;=13,"Best Customers",H67&gt;=10,"Loyal Customers",H67&gt;=7,"Potential Loyal Customers",H67&gt;=4,"Need Attention",TRUE,"At Risk")</f>
        <v>Loyal Customers</v>
      </c>
    </row>
    <row r="68" spans="1:9">
      <c r="A68" s="1" t="s">
        <v>1246</v>
      </c>
      <c r="B68" s="9">
        <v>15.590868055602201</v>
      </c>
      <c r="C68" s="1">
        <v>1</v>
      </c>
      <c r="D68" s="4">
        <v>13.79</v>
      </c>
      <c r="E68" s="1" cm="1">
        <f t="array" ref="E68">_xlfn.IFS(B68&lt;=_xlfn.PERCENTILE.INC($B$2:$B$288,0.2),5,B68&lt;=_xlfn.PERCENTILE.INC($B$2:$B$288,0.4),4,B68&lt;=_xlfn.PERCENTILE.INC($B$2:$B$288,0.6),3,B68&lt;=_xlfn.PERCENTILE.INC($B$2:$B$288,0.8),2,TRUE,1)</f>
        <v>5</v>
      </c>
      <c r="F68" s="1" cm="1">
        <f t="array" ref="F68">_xlfn.IFS(C68&gt;=_xlfn.PERCENTILE.INC($C$2:$C$288,0.8),5,C68&gt;=_xlfn.PERCENTILE.INC($C$2:$C$288,0.6),4,C68&gt;=_xlfn.PERCENTILE.INC($C$2:$C$288,0.4),3,C68&gt;=_xlfn.PERCENTILE.INC($C$2:$C$288,0.2),2,TRUE,1)</f>
        <v>1</v>
      </c>
      <c r="G68" s="1" cm="1">
        <f t="array" ref="G68">_xlfn.IFS(D68&gt;=_xlfn.PERCENTILE.INC($D$2:$D$288,0.8),5,D68&gt;=_xlfn.PERCENTILE.INC($D$2:$D$288,0.6),4,D68&gt;=_xlfn.PERCENTILE.INC($D$2:$D$288,0.4),3,D68&gt;=_xlfn.PERCENTILE.INC($D$2:$D$288,0.2),2,TRUE,1)</f>
        <v>1</v>
      </c>
      <c r="H68" s="1">
        <f t="shared" si="1"/>
        <v>7</v>
      </c>
      <c r="I68" s="1" t="str" cm="1">
        <f t="array" ref="I68">_xlfn.IFS(H68&gt;=13,"Best Customers",H68&gt;=10,"Loyal Customers",H68&gt;=7,"Potential Loyal Customers",H68&gt;=4,"Need Attention",TRUE,"At Risk")</f>
        <v>Potential Loyal Customers</v>
      </c>
    </row>
    <row r="69" spans="1:9">
      <c r="A69" s="1" t="s">
        <v>682</v>
      </c>
      <c r="B69" s="9">
        <v>192.59086805560199</v>
      </c>
      <c r="C69" s="1">
        <v>5</v>
      </c>
      <c r="D69" s="4">
        <v>41.33</v>
      </c>
      <c r="E69" s="1" cm="1">
        <f t="array" ref="E69">_xlfn.IFS(B69&lt;=_xlfn.PERCENTILE.INC($B$2:$B$288,0.2),5,B69&lt;=_xlfn.PERCENTILE.INC($B$2:$B$288,0.4),4,B69&lt;=_xlfn.PERCENTILE.INC($B$2:$B$288,0.6),3,B69&lt;=_xlfn.PERCENTILE.INC($B$2:$B$288,0.8),2,TRUE,1)</f>
        <v>1</v>
      </c>
      <c r="F69" s="1" cm="1">
        <f t="array" ref="F69">_xlfn.IFS(C69&gt;=_xlfn.PERCENTILE.INC($C$2:$C$288,0.8),5,C69&gt;=_xlfn.PERCENTILE.INC($C$2:$C$288,0.6),4,C69&gt;=_xlfn.PERCENTILE.INC($C$2:$C$288,0.4),3,C69&gt;=_xlfn.PERCENTILE.INC($C$2:$C$288,0.2),2,TRUE,1)</f>
        <v>5</v>
      </c>
      <c r="G69" s="1" cm="1">
        <f t="array" ref="G69">_xlfn.IFS(D69&gt;=_xlfn.PERCENTILE.INC($D$2:$D$288,0.8),5,D69&gt;=_xlfn.PERCENTILE.INC($D$2:$D$288,0.6),4,D69&gt;=_xlfn.PERCENTILE.INC($D$2:$D$288,0.4),3,D69&gt;=_xlfn.PERCENTILE.INC($D$2:$D$288,0.2),2,TRUE,1)</f>
        <v>2</v>
      </c>
      <c r="H69" s="1">
        <f t="shared" si="1"/>
        <v>8</v>
      </c>
      <c r="I69" s="1" t="str" cm="1">
        <f t="array" ref="I69">_xlfn.IFS(H69&gt;=13,"Best Customers",H69&gt;=10,"Loyal Customers",H69&gt;=7,"Potential Loyal Customers",H69&gt;=4,"Need Attention",TRUE,"At Risk")</f>
        <v>Potential Loyal Customers</v>
      </c>
    </row>
    <row r="70" spans="1:9">
      <c r="A70" s="1" t="s">
        <v>537</v>
      </c>
      <c r="B70" s="9">
        <v>173.59086805560199</v>
      </c>
      <c r="C70" s="1">
        <v>5</v>
      </c>
      <c r="D70" s="4">
        <v>142.38</v>
      </c>
      <c r="E70" s="1" cm="1">
        <f t="array" ref="E70">_xlfn.IFS(B70&lt;=_xlfn.PERCENTILE.INC($B$2:$B$288,0.2),5,B70&lt;=_xlfn.PERCENTILE.INC($B$2:$B$288,0.4),4,B70&lt;=_xlfn.PERCENTILE.INC($B$2:$B$288,0.6),3,B70&lt;=_xlfn.PERCENTILE.INC($B$2:$B$288,0.8),2,TRUE,1)</f>
        <v>1</v>
      </c>
      <c r="F70" s="1" cm="1">
        <f t="array" ref="F70">_xlfn.IFS(C70&gt;=_xlfn.PERCENTILE.INC($C$2:$C$288,0.8),5,C70&gt;=_xlfn.PERCENTILE.INC($C$2:$C$288,0.6),4,C70&gt;=_xlfn.PERCENTILE.INC($C$2:$C$288,0.4),3,C70&gt;=_xlfn.PERCENTILE.INC($C$2:$C$288,0.2),2,TRUE,1)</f>
        <v>5</v>
      </c>
      <c r="G70" s="1" cm="1">
        <f t="array" ref="G70">_xlfn.IFS(D70&gt;=_xlfn.PERCENTILE.INC($D$2:$D$288,0.8),5,D70&gt;=_xlfn.PERCENTILE.INC($D$2:$D$288,0.6),4,D70&gt;=_xlfn.PERCENTILE.INC($D$2:$D$288,0.4),3,D70&gt;=_xlfn.PERCENTILE.INC($D$2:$D$288,0.2),2,TRUE,1)</f>
        <v>5</v>
      </c>
      <c r="H70" s="1">
        <f t="shared" si="1"/>
        <v>11</v>
      </c>
      <c r="I70" s="1" t="str" cm="1">
        <f t="array" ref="I70">_xlfn.IFS(H70&gt;=13,"Best Customers",H70&gt;=10,"Loyal Customers",H70&gt;=7,"Potential Loyal Customers",H70&gt;=4,"Need Attention",TRUE,"At Risk")</f>
        <v>Loyal Customers</v>
      </c>
    </row>
    <row r="71" spans="1:9">
      <c r="A71" s="1" t="s">
        <v>811</v>
      </c>
      <c r="B71" s="9">
        <v>175.59086805560199</v>
      </c>
      <c r="C71" s="1">
        <v>2</v>
      </c>
      <c r="D71" s="4">
        <v>20.81</v>
      </c>
      <c r="E71" s="1" cm="1">
        <f t="array" ref="E71">_xlfn.IFS(B71&lt;=_xlfn.PERCENTILE.INC($B$2:$B$288,0.2),5,B71&lt;=_xlfn.PERCENTILE.INC($B$2:$B$288,0.4),4,B71&lt;=_xlfn.PERCENTILE.INC($B$2:$B$288,0.6),3,B71&lt;=_xlfn.PERCENTILE.INC($B$2:$B$288,0.8),2,TRUE,1)</f>
        <v>1</v>
      </c>
      <c r="F71" s="1" cm="1">
        <f t="array" ref="F71">_xlfn.IFS(C71&gt;=_xlfn.PERCENTILE.INC($C$2:$C$288,0.8),5,C71&gt;=_xlfn.PERCENTILE.INC($C$2:$C$288,0.6),4,C71&gt;=_xlfn.PERCENTILE.INC($C$2:$C$288,0.4),3,C71&gt;=_xlfn.PERCENTILE.INC($C$2:$C$288,0.2),2,TRUE,1)</f>
        <v>2</v>
      </c>
      <c r="G71" s="1" cm="1">
        <f t="array" ref="G71">_xlfn.IFS(D71&gt;=_xlfn.PERCENTILE.INC($D$2:$D$288,0.8),5,D71&gt;=_xlfn.PERCENTILE.INC($D$2:$D$288,0.6),4,D71&gt;=_xlfn.PERCENTILE.INC($D$2:$D$288,0.4),3,D71&gt;=_xlfn.PERCENTILE.INC($D$2:$D$288,0.2),2,TRUE,1)</f>
        <v>1</v>
      </c>
      <c r="H71" s="1">
        <f t="shared" si="1"/>
        <v>4</v>
      </c>
      <c r="I71" s="1" t="str" cm="1">
        <f t="array" ref="I71">_xlfn.IFS(H71&gt;=13,"Best Customers",H71&gt;=10,"Loyal Customers",H71&gt;=7,"Potential Loyal Customers",H71&gt;=4,"Need Attention",TRUE,"At Risk")</f>
        <v>Need Attention</v>
      </c>
    </row>
    <row r="72" spans="1:9">
      <c r="A72" s="1" t="s">
        <v>260</v>
      </c>
      <c r="B72" s="9">
        <v>134.59086805560199</v>
      </c>
      <c r="C72" s="1">
        <v>3</v>
      </c>
      <c r="D72" s="4">
        <v>60.87</v>
      </c>
      <c r="E72" s="1" cm="1">
        <f t="array" ref="E72">_xlfn.IFS(B72&lt;=_xlfn.PERCENTILE.INC($B$2:$B$288,0.2),5,B72&lt;=_xlfn.PERCENTILE.INC($B$2:$B$288,0.4),4,B72&lt;=_xlfn.PERCENTILE.INC($B$2:$B$288,0.6),3,B72&lt;=_xlfn.PERCENTILE.INC($B$2:$B$288,0.8),2,TRUE,1)</f>
        <v>2</v>
      </c>
      <c r="F72" s="1" cm="1">
        <f t="array" ref="F72">_xlfn.IFS(C72&gt;=_xlfn.PERCENTILE.INC($C$2:$C$288,0.8),5,C72&gt;=_xlfn.PERCENTILE.INC($C$2:$C$288,0.6),4,C72&gt;=_xlfn.PERCENTILE.INC($C$2:$C$288,0.4),3,C72&gt;=_xlfn.PERCENTILE.INC($C$2:$C$288,0.2),2,TRUE,1)</f>
        <v>3</v>
      </c>
      <c r="G72" s="1" cm="1">
        <f t="array" ref="G72">_xlfn.IFS(D72&gt;=_xlfn.PERCENTILE.INC($D$2:$D$288,0.8),5,D72&gt;=_xlfn.PERCENTILE.INC($D$2:$D$288,0.6),4,D72&gt;=_xlfn.PERCENTILE.INC($D$2:$D$288,0.4),3,D72&gt;=_xlfn.PERCENTILE.INC($D$2:$D$288,0.2),2,TRUE,1)</f>
        <v>3</v>
      </c>
      <c r="H72" s="1">
        <f t="shared" si="1"/>
        <v>8</v>
      </c>
      <c r="I72" s="1" t="str" cm="1">
        <f t="array" ref="I72">_xlfn.IFS(H72&gt;=13,"Best Customers",H72&gt;=10,"Loyal Customers",H72&gt;=7,"Potential Loyal Customers",H72&gt;=4,"Need Attention",TRUE,"At Risk")</f>
        <v>Potential Loyal Customers</v>
      </c>
    </row>
    <row r="73" spans="1:9">
      <c r="A73" s="1" t="s">
        <v>52</v>
      </c>
      <c r="B73" s="9">
        <v>71.590868055602201</v>
      </c>
      <c r="C73" s="1">
        <v>5</v>
      </c>
      <c r="D73" s="4">
        <v>75.69</v>
      </c>
      <c r="E73" s="1" cm="1">
        <f t="array" ref="E73">_xlfn.IFS(B73&lt;=_xlfn.PERCENTILE.INC($B$2:$B$288,0.2),5,B73&lt;=_xlfn.PERCENTILE.INC($B$2:$B$288,0.4),4,B73&lt;=_xlfn.PERCENTILE.INC($B$2:$B$288,0.6),3,B73&lt;=_xlfn.PERCENTILE.INC($B$2:$B$288,0.8),2,TRUE,1)</f>
        <v>3</v>
      </c>
      <c r="F73" s="1" cm="1">
        <f t="array" ref="F73">_xlfn.IFS(C73&gt;=_xlfn.PERCENTILE.INC($C$2:$C$288,0.8),5,C73&gt;=_xlfn.PERCENTILE.INC($C$2:$C$288,0.6),4,C73&gt;=_xlfn.PERCENTILE.INC($C$2:$C$288,0.4),3,C73&gt;=_xlfn.PERCENTILE.INC($C$2:$C$288,0.2),2,TRUE,1)</f>
        <v>5</v>
      </c>
      <c r="G73" s="1" cm="1">
        <f t="array" ref="G73">_xlfn.IFS(D73&gt;=_xlfn.PERCENTILE.INC($D$2:$D$288,0.8),5,D73&gt;=_xlfn.PERCENTILE.INC($D$2:$D$288,0.6),4,D73&gt;=_xlfn.PERCENTILE.INC($D$2:$D$288,0.4),3,D73&gt;=_xlfn.PERCENTILE.INC($D$2:$D$288,0.2),2,TRUE,1)</f>
        <v>4</v>
      </c>
      <c r="H73" s="1">
        <f t="shared" si="1"/>
        <v>12</v>
      </c>
      <c r="I73" s="1" t="str" cm="1">
        <f t="array" ref="I73">_xlfn.IFS(H73&gt;=13,"Best Customers",H73&gt;=10,"Loyal Customers",H73&gt;=7,"Potential Loyal Customers",H73&gt;=4,"Need Attention",TRUE,"At Risk")</f>
        <v>Loyal Customers</v>
      </c>
    </row>
    <row r="74" spans="1:9">
      <c r="A74" s="1" t="s">
        <v>795</v>
      </c>
      <c r="B74" s="9">
        <v>112.590868055602</v>
      </c>
      <c r="C74" s="1">
        <v>4</v>
      </c>
      <c r="D74" s="4">
        <v>91.19</v>
      </c>
      <c r="E74" s="1" cm="1">
        <f t="array" ref="E74">_xlfn.IFS(B74&lt;=_xlfn.PERCENTILE.INC($B$2:$B$288,0.2),5,B74&lt;=_xlfn.PERCENTILE.INC($B$2:$B$288,0.4),4,B74&lt;=_xlfn.PERCENTILE.INC($B$2:$B$288,0.6),3,B74&lt;=_xlfn.PERCENTILE.INC($B$2:$B$288,0.8),2,TRUE,1)</f>
        <v>2</v>
      </c>
      <c r="F74" s="1" cm="1">
        <f t="array" ref="F74">_xlfn.IFS(C74&gt;=_xlfn.PERCENTILE.INC($C$2:$C$288,0.8),5,C74&gt;=_xlfn.PERCENTILE.INC($C$2:$C$288,0.6),4,C74&gt;=_xlfn.PERCENTILE.INC($C$2:$C$288,0.4),3,C74&gt;=_xlfn.PERCENTILE.INC($C$2:$C$288,0.2),2,TRUE,1)</f>
        <v>4</v>
      </c>
      <c r="G74" s="1" cm="1">
        <f t="array" ref="G74">_xlfn.IFS(D74&gt;=_xlfn.PERCENTILE.INC($D$2:$D$288,0.8),5,D74&gt;=_xlfn.PERCENTILE.INC($D$2:$D$288,0.6),4,D74&gt;=_xlfn.PERCENTILE.INC($D$2:$D$288,0.4),3,D74&gt;=_xlfn.PERCENTILE.INC($D$2:$D$288,0.2),2,TRUE,1)</f>
        <v>5</v>
      </c>
      <c r="H74" s="1">
        <f t="shared" si="1"/>
        <v>11</v>
      </c>
      <c r="I74" s="1" t="str" cm="1">
        <f t="array" ref="I74">_xlfn.IFS(H74&gt;=13,"Best Customers",H74&gt;=10,"Loyal Customers",H74&gt;=7,"Potential Loyal Customers",H74&gt;=4,"Need Attention",TRUE,"At Risk")</f>
        <v>Loyal Customers</v>
      </c>
    </row>
    <row r="75" spans="1:9">
      <c r="A75" s="1" t="s">
        <v>78</v>
      </c>
      <c r="B75" s="9">
        <v>6.5908680556021899</v>
      </c>
      <c r="C75" s="1">
        <v>3</v>
      </c>
      <c r="D75" s="4">
        <v>70.13</v>
      </c>
      <c r="E75" s="1" cm="1">
        <f t="array" ref="E75">_xlfn.IFS(B75&lt;=_xlfn.PERCENTILE.INC($B$2:$B$288,0.2),5,B75&lt;=_xlfn.PERCENTILE.INC($B$2:$B$288,0.4),4,B75&lt;=_xlfn.PERCENTILE.INC($B$2:$B$288,0.6),3,B75&lt;=_xlfn.PERCENTILE.INC($B$2:$B$288,0.8),2,TRUE,1)</f>
        <v>5</v>
      </c>
      <c r="F75" s="1" cm="1">
        <f t="array" ref="F75">_xlfn.IFS(C75&gt;=_xlfn.PERCENTILE.INC($C$2:$C$288,0.8),5,C75&gt;=_xlfn.PERCENTILE.INC($C$2:$C$288,0.6),4,C75&gt;=_xlfn.PERCENTILE.INC($C$2:$C$288,0.4),3,C75&gt;=_xlfn.PERCENTILE.INC($C$2:$C$288,0.2),2,TRUE,1)</f>
        <v>3</v>
      </c>
      <c r="G75" s="1" cm="1">
        <f t="array" ref="G75">_xlfn.IFS(D75&gt;=_xlfn.PERCENTILE.INC($D$2:$D$288,0.8),5,D75&gt;=_xlfn.PERCENTILE.INC($D$2:$D$288,0.6),4,D75&gt;=_xlfn.PERCENTILE.INC($D$2:$D$288,0.4),3,D75&gt;=_xlfn.PERCENTILE.INC($D$2:$D$288,0.2),2,TRUE,1)</f>
        <v>4</v>
      </c>
      <c r="H75" s="1">
        <f t="shared" si="1"/>
        <v>12</v>
      </c>
      <c r="I75" s="1" t="str" cm="1">
        <f t="array" ref="I75">_xlfn.IFS(H75&gt;=13,"Best Customers",H75&gt;=10,"Loyal Customers",H75&gt;=7,"Potential Loyal Customers",H75&gt;=4,"Need Attention",TRUE,"At Risk")</f>
        <v>Loyal Customers</v>
      </c>
    </row>
    <row r="76" spans="1:9">
      <c r="A76" s="1" t="s">
        <v>846</v>
      </c>
      <c r="B76" s="9">
        <v>23.590868055602201</v>
      </c>
      <c r="C76" s="1">
        <v>2</v>
      </c>
      <c r="D76" s="4">
        <v>38.49</v>
      </c>
      <c r="E76" s="1" cm="1">
        <f t="array" ref="E76">_xlfn.IFS(B76&lt;=_xlfn.PERCENTILE.INC($B$2:$B$288,0.2),5,B76&lt;=_xlfn.PERCENTILE.INC($B$2:$B$288,0.4),4,B76&lt;=_xlfn.PERCENTILE.INC($B$2:$B$288,0.6),3,B76&lt;=_xlfn.PERCENTILE.INC($B$2:$B$288,0.8),2,TRUE,1)</f>
        <v>5</v>
      </c>
      <c r="F76" s="1" cm="1">
        <f t="array" ref="F76">_xlfn.IFS(C76&gt;=_xlfn.PERCENTILE.INC($C$2:$C$288,0.8),5,C76&gt;=_xlfn.PERCENTILE.INC($C$2:$C$288,0.6),4,C76&gt;=_xlfn.PERCENTILE.INC($C$2:$C$288,0.4),3,C76&gt;=_xlfn.PERCENTILE.INC($C$2:$C$288,0.2),2,TRUE,1)</f>
        <v>2</v>
      </c>
      <c r="G76" s="1" cm="1">
        <f t="array" ref="G76">_xlfn.IFS(D76&gt;=_xlfn.PERCENTILE.INC($D$2:$D$288,0.8),5,D76&gt;=_xlfn.PERCENTILE.INC($D$2:$D$288,0.6),4,D76&gt;=_xlfn.PERCENTILE.INC($D$2:$D$288,0.4),3,D76&gt;=_xlfn.PERCENTILE.INC($D$2:$D$288,0.2),2,TRUE,1)</f>
        <v>2</v>
      </c>
      <c r="H76" s="1">
        <f t="shared" si="1"/>
        <v>9</v>
      </c>
      <c r="I76" s="1" t="str" cm="1">
        <f t="array" ref="I76">_xlfn.IFS(H76&gt;=13,"Best Customers",H76&gt;=10,"Loyal Customers",H76&gt;=7,"Potential Loyal Customers",H76&gt;=4,"Need Attention",TRUE,"At Risk")</f>
        <v>Potential Loyal Customers</v>
      </c>
    </row>
    <row r="77" spans="1:9">
      <c r="A77" s="1" t="s">
        <v>571</v>
      </c>
      <c r="B77" s="9">
        <v>62.590868055602201</v>
      </c>
      <c r="C77" s="1">
        <v>3</v>
      </c>
      <c r="D77" s="4">
        <v>80.930000000000007</v>
      </c>
      <c r="E77" s="1" cm="1">
        <f t="array" ref="E77">_xlfn.IFS(B77&lt;=_xlfn.PERCENTILE.INC($B$2:$B$288,0.2),5,B77&lt;=_xlfn.PERCENTILE.INC($B$2:$B$288,0.4),4,B77&lt;=_xlfn.PERCENTILE.INC($B$2:$B$288,0.6),3,B77&lt;=_xlfn.PERCENTILE.INC($B$2:$B$288,0.8),2,TRUE,1)</f>
        <v>3</v>
      </c>
      <c r="F77" s="1" cm="1">
        <f t="array" ref="F77">_xlfn.IFS(C77&gt;=_xlfn.PERCENTILE.INC($C$2:$C$288,0.8),5,C77&gt;=_xlfn.PERCENTILE.INC($C$2:$C$288,0.6),4,C77&gt;=_xlfn.PERCENTILE.INC($C$2:$C$288,0.4),3,C77&gt;=_xlfn.PERCENTILE.INC($C$2:$C$288,0.2),2,TRUE,1)</f>
        <v>3</v>
      </c>
      <c r="G77" s="1" cm="1">
        <f t="array" ref="G77">_xlfn.IFS(D77&gt;=_xlfn.PERCENTILE.INC($D$2:$D$288,0.8),5,D77&gt;=_xlfn.PERCENTILE.INC($D$2:$D$288,0.6),4,D77&gt;=_xlfn.PERCENTILE.INC($D$2:$D$288,0.4),3,D77&gt;=_xlfn.PERCENTILE.INC($D$2:$D$288,0.2),2,TRUE,1)</f>
        <v>4</v>
      </c>
      <c r="H77" s="1">
        <f t="shared" si="1"/>
        <v>10</v>
      </c>
      <c r="I77" s="1" t="str" cm="1">
        <f t="array" ref="I77">_xlfn.IFS(H77&gt;=13,"Best Customers",H77&gt;=10,"Loyal Customers",H77&gt;=7,"Potential Loyal Customers",H77&gt;=4,"Need Attention",TRUE,"At Risk")</f>
        <v>Loyal Customers</v>
      </c>
    </row>
    <row r="78" spans="1:9">
      <c r="A78" s="1" t="s">
        <v>424</v>
      </c>
      <c r="B78" s="9">
        <v>217.59086805560199</v>
      </c>
      <c r="C78" s="1">
        <v>3</v>
      </c>
      <c r="D78" s="4">
        <v>52.34</v>
      </c>
      <c r="E78" s="1" cm="1">
        <f t="array" ref="E78">_xlfn.IFS(B78&lt;=_xlfn.PERCENTILE.INC($B$2:$B$288,0.2),5,B78&lt;=_xlfn.PERCENTILE.INC($B$2:$B$288,0.4),4,B78&lt;=_xlfn.PERCENTILE.INC($B$2:$B$288,0.6),3,B78&lt;=_xlfn.PERCENTILE.INC($B$2:$B$288,0.8),2,TRUE,1)</f>
        <v>1</v>
      </c>
      <c r="F78" s="1" cm="1">
        <f t="array" ref="F78">_xlfn.IFS(C78&gt;=_xlfn.PERCENTILE.INC($C$2:$C$288,0.8),5,C78&gt;=_xlfn.PERCENTILE.INC($C$2:$C$288,0.6),4,C78&gt;=_xlfn.PERCENTILE.INC($C$2:$C$288,0.4),3,C78&gt;=_xlfn.PERCENTILE.INC($C$2:$C$288,0.2),2,TRUE,1)</f>
        <v>3</v>
      </c>
      <c r="G78" s="1" cm="1">
        <f t="array" ref="G78">_xlfn.IFS(D78&gt;=_xlfn.PERCENTILE.INC($D$2:$D$288,0.8),5,D78&gt;=_xlfn.PERCENTILE.INC($D$2:$D$288,0.6),4,D78&gt;=_xlfn.PERCENTILE.INC($D$2:$D$288,0.4),3,D78&gt;=_xlfn.PERCENTILE.INC($D$2:$D$288,0.2),2,TRUE,1)</f>
        <v>3</v>
      </c>
      <c r="H78" s="1">
        <f t="shared" si="1"/>
        <v>7</v>
      </c>
      <c r="I78" s="1" t="str" cm="1">
        <f t="array" ref="I78">_xlfn.IFS(H78&gt;=13,"Best Customers",H78&gt;=10,"Loyal Customers",H78&gt;=7,"Potential Loyal Customers",H78&gt;=4,"Need Attention",TRUE,"At Risk")</f>
        <v>Potential Loyal Customers</v>
      </c>
    </row>
    <row r="79" spans="1:9">
      <c r="A79" s="1" t="s">
        <v>398</v>
      </c>
      <c r="B79" s="9">
        <v>0.59086805560218603</v>
      </c>
      <c r="C79" s="1">
        <v>5</v>
      </c>
      <c r="D79" s="4">
        <v>88.89</v>
      </c>
      <c r="E79" s="1" cm="1">
        <f t="array" ref="E79">_xlfn.IFS(B79&lt;=_xlfn.PERCENTILE.INC($B$2:$B$288,0.2),5,B79&lt;=_xlfn.PERCENTILE.INC($B$2:$B$288,0.4),4,B79&lt;=_xlfn.PERCENTILE.INC($B$2:$B$288,0.6),3,B79&lt;=_xlfn.PERCENTILE.INC($B$2:$B$288,0.8),2,TRUE,1)</f>
        <v>5</v>
      </c>
      <c r="F79" s="1" cm="1">
        <f t="array" ref="F79">_xlfn.IFS(C79&gt;=_xlfn.PERCENTILE.INC($C$2:$C$288,0.8),5,C79&gt;=_xlfn.PERCENTILE.INC($C$2:$C$288,0.6),4,C79&gt;=_xlfn.PERCENTILE.INC($C$2:$C$288,0.4),3,C79&gt;=_xlfn.PERCENTILE.INC($C$2:$C$288,0.2),2,TRUE,1)</f>
        <v>5</v>
      </c>
      <c r="G79" s="1" cm="1">
        <f t="array" ref="G79">_xlfn.IFS(D79&gt;=_xlfn.PERCENTILE.INC($D$2:$D$288,0.8),5,D79&gt;=_xlfn.PERCENTILE.INC($D$2:$D$288,0.6),4,D79&gt;=_xlfn.PERCENTILE.INC($D$2:$D$288,0.4),3,D79&gt;=_xlfn.PERCENTILE.INC($D$2:$D$288,0.2),2,TRUE,1)</f>
        <v>4</v>
      </c>
      <c r="H79" s="1">
        <f t="shared" si="1"/>
        <v>14</v>
      </c>
      <c r="I79" s="1" t="str" cm="1">
        <f t="array" ref="I79">_xlfn.IFS(H79&gt;=13,"Best Customers",H79&gt;=10,"Loyal Customers",H79&gt;=7,"Potential Loyal Customers",H79&gt;=4,"Need Attention",TRUE,"At Risk")</f>
        <v>Best Customers</v>
      </c>
    </row>
    <row r="80" spans="1:9">
      <c r="A80" s="1" t="s">
        <v>31</v>
      </c>
      <c r="B80" s="9">
        <v>34.590868055602201</v>
      </c>
      <c r="C80" s="1">
        <v>8</v>
      </c>
      <c r="D80" s="4">
        <v>123.51</v>
      </c>
      <c r="E80" s="1" cm="1">
        <f t="array" ref="E80">_xlfn.IFS(B80&lt;=_xlfn.PERCENTILE.INC($B$2:$B$288,0.2),5,B80&lt;=_xlfn.PERCENTILE.INC($B$2:$B$288,0.4),4,B80&lt;=_xlfn.PERCENTILE.INC($B$2:$B$288,0.6),3,B80&lt;=_xlfn.PERCENTILE.INC($B$2:$B$288,0.8),2,TRUE,1)</f>
        <v>4</v>
      </c>
      <c r="F80" s="1" cm="1">
        <f t="array" ref="F80">_xlfn.IFS(C80&gt;=_xlfn.PERCENTILE.INC($C$2:$C$288,0.8),5,C80&gt;=_xlfn.PERCENTILE.INC($C$2:$C$288,0.6),4,C80&gt;=_xlfn.PERCENTILE.INC($C$2:$C$288,0.4),3,C80&gt;=_xlfn.PERCENTILE.INC($C$2:$C$288,0.2),2,TRUE,1)</f>
        <v>5</v>
      </c>
      <c r="G80" s="1" cm="1">
        <f t="array" ref="G80">_xlfn.IFS(D80&gt;=_xlfn.PERCENTILE.INC($D$2:$D$288,0.8),5,D80&gt;=_xlfn.PERCENTILE.INC($D$2:$D$288,0.6),4,D80&gt;=_xlfn.PERCENTILE.INC($D$2:$D$288,0.4),3,D80&gt;=_xlfn.PERCENTILE.INC($D$2:$D$288,0.2),2,TRUE,1)</f>
        <v>5</v>
      </c>
      <c r="H80" s="1">
        <f t="shared" si="1"/>
        <v>14</v>
      </c>
      <c r="I80" s="1" t="str" cm="1">
        <f t="array" ref="I80">_xlfn.IFS(H80&gt;=13,"Best Customers",H80&gt;=10,"Loyal Customers",H80&gt;=7,"Potential Loyal Customers",H80&gt;=4,"Need Attention",TRUE,"At Risk")</f>
        <v>Best Customers</v>
      </c>
    </row>
    <row r="81" spans="1:9">
      <c r="A81" s="1" t="s">
        <v>387</v>
      </c>
      <c r="B81" s="9">
        <v>181.59086805560199</v>
      </c>
      <c r="C81" s="1">
        <v>2</v>
      </c>
      <c r="D81" s="4">
        <v>41.95</v>
      </c>
      <c r="E81" s="1" cm="1">
        <f t="array" ref="E81">_xlfn.IFS(B81&lt;=_xlfn.PERCENTILE.INC($B$2:$B$288,0.2),5,B81&lt;=_xlfn.PERCENTILE.INC($B$2:$B$288,0.4),4,B81&lt;=_xlfn.PERCENTILE.INC($B$2:$B$288,0.6),3,B81&lt;=_xlfn.PERCENTILE.INC($B$2:$B$288,0.8),2,TRUE,1)</f>
        <v>1</v>
      </c>
      <c r="F81" s="1" cm="1">
        <f t="array" ref="F81">_xlfn.IFS(C81&gt;=_xlfn.PERCENTILE.INC($C$2:$C$288,0.8),5,C81&gt;=_xlfn.PERCENTILE.INC($C$2:$C$288,0.6),4,C81&gt;=_xlfn.PERCENTILE.INC($C$2:$C$288,0.4),3,C81&gt;=_xlfn.PERCENTILE.INC($C$2:$C$288,0.2),2,TRUE,1)</f>
        <v>2</v>
      </c>
      <c r="G81" s="1" cm="1">
        <f t="array" ref="G81">_xlfn.IFS(D81&gt;=_xlfn.PERCENTILE.INC($D$2:$D$288,0.8),5,D81&gt;=_xlfn.PERCENTILE.INC($D$2:$D$288,0.6),4,D81&gt;=_xlfn.PERCENTILE.INC($D$2:$D$288,0.4),3,D81&gt;=_xlfn.PERCENTILE.INC($D$2:$D$288,0.2),2,TRUE,1)</f>
        <v>2</v>
      </c>
      <c r="H81" s="1">
        <f t="shared" si="1"/>
        <v>5</v>
      </c>
      <c r="I81" s="1" t="str" cm="1">
        <f t="array" ref="I81">_xlfn.IFS(H81&gt;=13,"Best Customers",H81&gt;=10,"Loyal Customers",H81&gt;=7,"Potential Loyal Customers",H81&gt;=4,"Need Attention",TRUE,"At Risk")</f>
        <v>Need Attention</v>
      </c>
    </row>
    <row r="82" spans="1:9">
      <c r="A82" s="1" t="s">
        <v>147</v>
      </c>
      <c r="B82" s="9">
        <v>39.590868055602201</v>
      </c>
      <c r="C82" s="1">
        <v>4</v>
      </c>
      <c r="D82" s="4">
        <v>30.27</v>
      </c>
      <c r="E82" s="1" cm="1">
        <f t="array" ref="E82">_xlfn.IFS(B82&lt;=_xlfn.PERCENTILE.INC($B$2:$B$288,0.2),5,B82&lt;=_xlfn.PERCENTILE.INC($B$2:$B$288,0.4),4,B82&lt;=_xlfn.PERCENTILE.INC($B$2:$B$288,0.6),3,B82&lt;=_xlfn.PERCENTILE.INC($B$2:$B$288,0.8),2,TRUE,1)</f>
        <v>4</v>
      </c>
      <c r="F82" s="1" cm="1">
        <f t="array" ref="F82">_xlfn.IFS(C82&gt;=_xlfn.PERCENTILE.INC($C$2:$C$288,0.8),5,C82&gt;=_xlfn.PERCENTILE.INC($C$2:$C$288,0.6),4,C82&gt;=_xlfn.PERCENTILE.INC($C$2:$C$288,0.4),3,C82&gt;=_xlfn.PERCENTILE.INC($C$2:$C$288,0.2),2,TRUE,1)</f>
        <v>4</v>
      </c>
      <c r="G82" s="1" cm="1">
        <f t="array" ref="G82">_xlfn.IFS(D82&gt;=_xlfn.PERCENTILE.INC($D$2:$D$288,0.8),5,D82&gt;=_xlfn.PERCENTILE.INC($D$2:$D$288,0.6),4,D82&gt;=_xlfn.PERCENTILE.INC($D$2:$D$288,0.4),3,D82&gt;=_xlfn.PERCENTILE.INC($D$2:$D$288,0.2),2,TRUE,1)</f>
        <v>2</v>
      </c>
      <c r="H82" s="1">
        <f t="shared" si="1"/>
        <v>10</v>
      </c>
      <c r="I82" s="1" t="str" cm="1">
        <f t="array" ref="I82">_xlfn.IFS(H82&gt;=13,"Best Customers",H82&gt;=10,"Loyal Customers",H82&gt;=7,"Potential Loyal Customers",H82&gt;=4,"Need Attention",TRUE,"At Risk")</f>
        <v>Loyal Customers</v>
      </c>
    </row>
    <row r="83" spans="1:9">
      <c r="A83" s="1" t="s">
        <v>344</v>
      </c>
      <c r="B83" s="9">
        <v>145.59086805560199</v>
      </c>
      <c r="C83" s="1">
        <v>4</v>
      </c>
      <c r="D83" s="4">
        <v>57.61</v>
      </c>
      <c r="E83" s="1" cm="1">
        <f t="array" ref="E83">_xlfn.IFS(B83&lt;=_xlfn.PERCENTILE.INC($B$2:$B$288,0.2),5,B83&lt;=_xlfn.PERCENTILE.INC($B$2:$B$288,0.4),4,B83&lt;=_xlfn.PERCENTILE.INC($B$2:$B$288,0.6),3,B83&lt;=_xlfn.PERCENTILE.INC($B$2:$B$288,0.8),2,TRUE,1)</f>
        <v>2</v>
      </c>
      <c r="F83" s="1" cm="1">
        <f t="array" ref="F83">_xlfn.IFS(C83&gt;=_xlfn.PERCENTILE.INC($C$2:$C$288,0.8),5,C83&gt;=_xlfn.PERCENTILE.INC($C$2:$C$288,0.6),4,C83&gt;=_xlfn.PERCENTILE.INC($C$2:$C$288,0.4),3,C83&gt;=_xlfn.PERCENTILE.INC($C$2:$C$288,0.2),2,TRUE,1)</f>
        <v>4</v>
      </c>
      <c r="G83" s="1" cm="1">
        <f t="array" ref="G83">_xlfn.IFS(D83&gt;=_xlfn.PERCENTILE.INC($D$2:$D$288,0.8),5,D83&gt;=_xlfn.PERCENTILE.INC($D$2:$D$288,0.6),4,D83&gt;=_xlfn.PERCENTILE.INC($D$2:$D$288,0.4),3,D83&gt;=_xlfn.PERCENTILE.INC($D$2:$D$288,0.2),2,TRUE,1)</f>
        <v>3</v>
      </c>
      <c r="H83" s="1">
        <f t="shared" si="1"/>
        <v>9</v>
      </c>
      <c r="I83" s="1" t="str" cm="1">
        <f t="array" ref="I83">_xlfn.IFS(H83&gt;=13,"Best Customers",H83&gt;=10,"Loyal Customers",H83&gt;=7,"Potential Loyal Customers",H83&gt;=4,"Need Attention",TRUE,"At Risk")</f>
        <v>Potential Loyal Customers</v>
      </c>
    </row>
    <row r="84" spans="1:9">
      <c r="A84" s="1" t="s">
        <v>370</v>
      </c>
      <c r="B84" s="9">
        <v>140.59086805560199</v>
      </c>
      <c r="C84" s="1">
        <v>2</v>
      </c>
      <c r="D84" s="4">
        <v>21.91</v>
      </c>
      <c r="E84" s="1" cm="1">
        <f t="array" ref="E84">_xlfn.IFS(B84&lt;=_xlfn.PERCENTILE.INC($B$2:$B$288,0.2),5,B84&lt;=_xlfn.PERCENTILE.INC($B$2:$B$288,0.4),4,B84&lt;=_xlfn.PERCENTILE.INC($B$2:$B$288,0.6),3,B84&lt;=_xlfn.PERCENTILE.INC($B$2:$B$288,0.8),2,TRUE,1)</f>
        <v>2</v>
      </c>
      <c r="F84" s="1" cm="1">
        <f t="array" ref="F84">_xlfn.IFS(C84&gt;=_xlfn.PERCENTILE.INC($C$2:$C$288,0.8),5,C84&gt;=_xlfn.PERCENTILE.INC($C$2:$C$288,0.6),4,C84&gt;=_xlfn.PERCENTILE.INC($C$2:$C$288,0.4),3,C84&gt;=_xlfn.PERCENTILE.INC($C$2:$C$288,0.2),2,TRUE,1)</f>
        <v>2</v>
      </c>
      <c r="G84" s="1" cm="1">
        <f t="array" ref="G84">_xlfn.IFS(D84&gt;=_xlfn.PERCENTILE.INC($D$2:$D$288,0.8),5,D84&gt;=_xlfn.PERCENTILE.INC($D$2:$D$288,0.6),4,D84&gt;=_xlfn.PERCENTILE.INC($D$2:$D$288,0.4),3,D84&gt;=_xlfn.PERCENTILE.INC($D$2:$D$288,0.2),2,TRUE,1)</f>
        <v>1</v>
      </c>
      <c r="H84" s="1">
        <f t="shared" si="1"/>
        <v>5</v>
      </c>
      <c r="I84" s="1" t="str" cm="1">
        <f t="array" ref="I84">_xlfn.IFS(H84&gt;=13,"Best Customers",H84&gt;=10,"Loyal Customers",H84&gt;=7,"Potential Loyal Customers",H84&gt;=4,"Need Attention",TRUE,"At Risk")</f>
        <v>Need Attention</v>
      </c>
    </row>
    <row r="85" spans="1:9">
      <c r="A85" s="1" t="s">
        <v>84</v>
      </c>
      <c r="B85" s="9">
        <v>73.590868055602201</v>
      </c>
      <c r="C85" s="1">
        <v>6</v>
      </c>
      <c r="D85" s="4">
        <v>60.04</v>
      </c>
      <c r="E85" s="1" cm="1">
        <f t="array" ref="E85">_xlfn.IFS(B85&lt;=_xlfn.PERCENTILE.INC($B$2:$B$288,0.2),5,B85&lt;=_xlfn.PERCENTILE.INC($B$2:$B$288,0.4),4,B85&lt;=_xlfn.PERCENTILE.INC($B$2:$B$288,0.6),3,B85&lt;=_xlfn.PERCENTILE.INC($B$2:$B$288,0.8),2,TRUE,1)</f>
        <v>3</v>
      </c>
      <c r="F85" s="1" cm="1">
        <f t="array" ref="F85">_xlfn.IFS(C85&gt;=_xlfn.PERCENTILE.INC($C$2:$C$288,0.8),5,C85&gt;=_xlfn.PERCENTILE.INC($C$2:$C$288,0.6),4,C85&gt;=_xlfn.PERCENTILE.INC($C$2:$C$288,0.4),3,C85&gt;=_xlfn.PERCENTILE.INC($C$2:$C$288,0.2),2,TRUE,1)</f>
        <v>5</v>
      </c>
      <c r="G85" s="1" cm="1">
        <f t="array" ref="G85">_xlfn.IFS(D85&gt;=_xlfn.PERCENTILE.INC($D$2:$D$288,0.8),5,D85&gt;=_xlfn.PERCENTILE.INC($D$2:$D$288,0.6),4,D85&gt;=_xlfn.PERCENTILE.INC($D$2:$D$288,0.4),3,D85&gt;=_xlfn.PERCENTILE.INC($D$2:$D$288,0.2),2,TRUE,1)</f>
        <v>3</v>
      </c>
      <c r="H85" s="1">
        <f t="shared" si="1"/>
        <v>11</v>
      </c>
      <c r="I85" s="1" t="str" cm="1">
        <f t="array" ref="I85">_xlfn.IFS(H85&gt;=13,"Best Customers",H85&gt;=10,"Loyal Customers",H85&gt;=7,"Potential Loyal Customers",H85&gt;=4,"Need Attention",TRUE,"At Risk")</f>
        <v>Loyal Customers</v>
      </c>
    </row>
    <row r="86" spans="1:9">
      <c r="A86" s="1" t="s">
        <v>258</v>
      </c>
      <c r="B86" s="9">
        <v>13.590868055602201</v>
      </c>
      <c r="C86" s="1">
        <v>5</v>
      </c>
      <c r="D86" s="4">
        <v>49.97</v>
      </c>
      <c r="E86" s="1" cm="1">
        <f t="array" ref="E86">_xlfn.IFS(B86&lt;=_xlfn.PERCENTILE.INC($B$2:$B$288,0.2),5,B86&lt;=_xlfn.PERCENTILE.INC($B$2:$B$288,0.4),4,B86&lt;=_xlfn.PERCENTILE.INC($B$2:$B$288,0.6),3,B86&lt;=_xlfn.PERCENTILE.INC($B$2:$B$288,0.8),2,TRUE,1)</f>
        <v>5</v>
      </c>
      <c r="F86" s="1" cm="1">
        <f t="array" ref="F86">_xlfn.IFS(C86&gt;=_xlfn.PERCENTILE.INC($C$2:$C$288,0.8),5,C86&gt;=_xlfn.PERCENTILE.INC($C$2:$C$288,0.6),4,C86&gt;=_xlfn.PERCENTILE.INC($C$2:$C$288,0.4),3,C86&gt;=_xlfn.PERCENTILE.INC($C$2:$C$288,0.2),2,TRUE,1)</f>
        <v>5</v>
      </c>
      <c r="G86" s="1" cm="1">
        <f t="array" ref="G86">_xlfn.IFS(D86&gt;=_xlfn.PERCENTILE.INC($D$2:$D$288,0.8),5,D86&gt;=_xlfn.PERCENTILE.INC($D$2:$D$288,0.6),4,D86&gt;=_xlfn.PERCENTILE.INC($D$2:$D$288,0.4),3,D86&gt;=_xlfn.PERCENTILE.INC($D$2:$D$288,0.2),2,TRUE,1)</f>
        <v>3</v>
      </c>
      <c r="H86" s="1">
        <f t="shared" si="1"/>
        <v>13</v>
      </c>
      <c r="I86" s="1" t="str" cm="1">
        <f t="array" ref="I86">_xlfn.IFS(H86&gt;=13,"Best Customers",H86&gt;=10,"Loyal Customers",H86&gt;=7,"Potential Loyal Customers",H86&gt;=4,"Need Attention",TRUE,"At Risk")</f>
        <v>Best Customers</v>
      </c>
    </row>
    <row r="87" spans="1:9">
      <c r="A87" s="1" t="s">
        <v>219</v>
      </c>
      <c r="B87" s="9">
        <v>145.59086805560199</v>
      </c>
      <c r="C87" s="1">
        <v>5</v>
      </c>
      <c r="D87" s="4">
        <v>113.27</v>
      </c>
      <c r="E87" s="1" cm="1">
        <f t="array" ref="E87">_xlfn.IFS(B87&lt;=_xlfn.PERCENTILE.INC($B$2:$B$288,0.2),5,B87&lt;=_xlfn.PERCENTILE.INC($B$2:$B$288,0.4),4,B87&lt;=_xlfn.PERCENTILE.INC($B$2:$B$288,0.6),3,B87&lt;=_xlfn.PERCENTILE.INC($B$2:$B$288,0.8),2,TRUE,1)</f>
        <v>2</v>
      </c>
      <c r="F87" s="1" cm="1">
        <f t="array" ref="F87">_xlfn.IFS(C87&gt;=_xlfn.PERCENTILE.INC($C$2:$C$288,0.8),5,C87&gt;=_xlfn.PERCENTILE.INC($C$2:$C$288,0.6),4,C87&gt;=_xlfn.PERCENTILE.INC($C$2:$C$288,0.4),3,C87&gt;=_xlfn.PERCENTILE.INC($C$2:$C$288,0.2),2,TRUE,1)</f>
        <v>5</v>
      </c>
      <c r="G87" s="1" cm="1">
        <f t="array" ref="G87">_xlfn.IFS(D87&gt;=_xlfn.PERCENTILE.INC($D$2:$D$288,0.8),5,D87&gt;=_xlfn.PERCENTILE.INC($D$2:$D$288,0.6),4,D87&gt;=_xlfn.PERCENTILE.INC($D$2:$D$288,0.4),3,D87&gt;=_xlfn.PERCENTILE.INC($D$2:$D$288,0.2),2,TRUE,1)</f>
        <v>5</v>
      </c>
      <c r="H87" s="1">
        <f t="shared" si="1"/>
        <v>12</v>
      </c>
      <c r="I87" s="1" t="str" cm="1">
        <f t="array" ref="I87">_xlfn.IFS(H87&gt;=13,"Best Customers",H87&gt;=10,"Loyal Customers",H87&gt;=7,"Potential Loyal Customers",H87&gt;=4,"Need Attention",TRUE,"At Risk")</f>
        <v>Loyal Customers</v>
      </c>
    </row>
    <row r="88" spans="1:9">
      <c r="A88" s="1" t="s">
        <v>891</v>
      </c>
      <c r="B88" s="9">
        <v>0.59086805560218603</v>
      </c>
      <c r="C88" s="1">
        <v>4</v>
      </c>
      <c r="D88" s="4">
        <v>64.37</v>
      </c>
      <c r="E88" s="1" cm="1">
        <f t="array" ref="E88">_xlfn.IFS(B88&lt;=_xlfn.PERCENTILE.INC($B$2:$B$288,0.2),5,B88&lt;=_xlfn.PERCENTILE.INC($B$2:$B$288,0.4),4,B88&lt;=_xlfn.PERCENTILE.INC($B$2:$B$288,0.6),3,B88&lt;=_xlfn.PERCENTILE.INC($B$2:$B$288,0.8),2,TRUE,1)</f>
        <v>5</v>
      </c>
      <c r="F88" s="1" cm="1">
        <f t="array" ref="F88">_xlfn.IFS(C88&gt;=_xlfn.PERCENTILE.INC($C$2:$C$288,0.8),5,C88&gt;=_xlfn.PERCENTILE.INC($C$2:$C$288,0.6),4,C88&gt;=_xlfn.PERCENTILE.INC($C$2:$C$288,0.4),3,C88&gt;=_xlfn.PERCENTILE.INC($C$2:$C$288,0.2),2,TRUE,1)</f>
        <v>4</v>
      </c>
      <c r="G88" s="1" cm="1">
        <f t="array" ref="G88">_xlfn.IFS(D88&gt;=_xlfn.PERCENTILE.INC($D$2:$D$288,0.8),5,D88&gt;=_xlfn.PERCENTILE.INC($D$2:$D$288,0.6),4,D88&gt;=_xlfn.PERCENTILE.INC($D$2:$D$288,0.4),3,D88&gt;=_xlfn.PERCENTILE.INC($D$2:$D$288,0.2),2,TRUE,1)</f>
        <v>4</v>
      </c>
      <c r="H88" s="1">
        <f t="shared" si="1"/>
        <v>13</v>
      </c>
      <c r="I88" s="1" t="str" cm="1">
        <f t="array" ref="I88">_xlfn.IFS(H88&gt;=13,"Best Customers",H88&gt;=10,"Loyal Customers",H88&gt;=7,"Potential Loyal Customers",H88&gt;=4,"Need Attention",TRUE,"At Risk")</f>
        <v>Best Customers</v>
      </c>
    </row>
    <row r="89" spans="1:9">
      <c r="A89" s="1" t="s">
        <v>41</v>
      </c>
      <c r="B89" s="9">
        <v>234.59086805560199</v>
      </c>
      <c r="C89" s="1">
        <v>1</v>
      </c>
      <c r="D89" s="4">
        <v>11.82</v>
      </c>
      <c r="E89" s="1" cm="1">
        <f t="array" ref="E89">_xlfn.IFS(B89&lt;=_xlfn.PERCENTILE.INC($B$2:$B$288,0.2),5,B89&lt;=_xlfn.PERCENTILE.INC($B$2:$B$288,0.4),4,B89&lt;=_xlfn.PERCENTILE.INC($B$2:$B$288,0.6),3,B89&lt;=_xlfn.PERCENTILE.INC($B$2:$B$288,0.8),2,TRUE,1)</f>
        <v>1</v>
      </c>
      <c r="F89" s="1" cm="1">
        <f t="array" ref="F89">_xlfn.IFS(C89&gt;=_xlfn.PERCENTILE.INC($C$2:$C$288,0.8),5,C89&gt;=_xlfn.PERCENTILE.INC($C$2:$C$288,0.6),4,C89&gt;=_xlfn.PERCENTILE.INC($C$2:$C$288,0.4),3,C89&gt;=_xlfn.PERCENTILE.INC($C$2:$C$288,0.2),2,TRUE,1)</f>
        <v>1</v>
      </c>
      <c r="G89" s="1" cm="1">
        <f t="array" ref="G89">_xlfn.IFS(D89&gt;=_xlfn.PERCENTILE.INC($D$2:$D$288,0.8),5,D89&gt;=_xlfn.PERCENTILE.INC($D$2:$D$288,0.6),4,D89&gt;=_xlfn.PERCENTILE.INC($D$2:$D$288,0.4),3,D89&gt;=_xlfn.PERCENTILE.INC($D$2:$D$288,0.2),2,TRUE,1)</f>
        <v>1</v>
      </c>
      <c r="H89" s="1">
        <f t="shared" si="1"/>
        <v>3</v>
      </c>
      <c r="I89" s="1" t="str" cm="1">
        <f t="array" ref="I89">_xlfn.IFS(H89&gt;=13,"Best Customers",H89&gt;=10,"Loyal Customers",H89&gt;=7,"Potential Loyal Customers",H89&gt;=4,"Need Attention",TRUE,"At Risk")</f>
        <v>At Risk</v>
      </c>
    </row>
    <row r="90" spans="1:9">
      <c r="A90" s="1" t="s">
        <v>43</v>
      </c>
      <c r="B90" s="9">
        <v>48.590868055602201</v>
      </c>
      <c r="C90" s="1">
        <v>3</v>
      </c>
      <c r="D90" s="4">
        <v>31.41</v>
      </c>
      <c r="E90" s="1" cm="1">
        <f t="array" ref="E90">_xlfn.IFS(B90&lt;=_xlfn.PERCENTILE.INC($B$2:$B$288,0.2),5,B90&lt;=_xlfn.PERCENTILE.INC($B$2:$B$288,0.4),4,B90&lt;=_xlfn.PERCENTILE.INC($B$2:$B$288,0.6),3,B90&lt;=_xlfn.PERCENTILE.INC($B$2:$B$288,0.8),2,TRUE,1)</f>
        <v>4</v>
      </c>
      <c r="F90" s="1" cm="1">
        <f t="array" ref="F90">_xlfn.IFS(C90&gt;=_xlfn.PERCENTILE.INC($C$2:$C$288,0.8),5,C90&gt;=_xlfn.PERCENTILE.INC($C$2:$C$288,0.6),4,C90&gt;=_xlfn.PERCENTILE.INC($C$2:$C$288,0.4),3,C90&gt;=_xlfn.PERCENTILE.INC($C$2:$C$288,0.2),2,TRUE,1)</f>
        <v>3</v>
      </c>
      <c r="G90" s="1" cm="1">
        <f t="array" ref="G90">_xlfn.IFS(D90&gt;=_xlfn.PERCENTILE.INC($D$2:$D$288,0.8),5,D90&gt;=_xlfn.PERCENTILE.INC($D$2:$D$288,0.6),4,D90&gt;=_xlfn.PERCENTILE.INC($D$2:$D$288,0.4),3,D90&gt;=_xlfn.PERCENTILE.INC($D$2:$D$288,0.2),2,TRUE,1)</f>
        <v>2</v>
      </c>
      <c r="H90" s="1">
        <f t="shared" si="1"/>
        <v>9</v>
      </c>
      <c r="I90" s="1" t="str" cm="1">
        <f t="array" ref="I90">_xlfn.IFS(H90&gt;=13,"Best Customers",H90&gt;=10,"Loyal Customers",H90&gt;=7,"Potential Loyal Customers",H90&gt;=4,"Need Attention",TRUE,"At Risk")</f>
        <v>Potential Loyal Customers</v>
      </c>
    </row>
    <row r="91" spans="1:9">
      <c r="A91" s="1" t="s">
        <v>368</v>
      </c>
      <c r="B91" s="9">
        <v>54.590868055602201</v>
      </c>
      <c r="C91" s="1">
        <v>3</v>
      </c>
      <c r="D91" s="4">
        <v>95.01</v>
      </c>
      <c r="E91" s="1" cm="1">
        <f t="array" ref="E91">_xlfn.IFS(B91&lt;=_xlfn.PERCENTILE.INC($B$2:$B$288,0.2),5,B91&lt;=_xlfn.PERCENTILE.INC($B$2:$B$288,0.4),4,B91&lt;=_xlfn.PERCENTILE.INC($B$2:$B$288,0.6),3,B91&lt;=_xlfn.PERCENTILE.INC($B$2:$B$288,0.8),2,TRUE,1)</f>
        <v>4</v>
      </c>
      <c r="F91" s="1" cm="1">
        <f t="array" ref="F91">_xlfn.IFS(C91&gt;=_xlfn.PERCENTILE.INC($C$2:$C$288,0.8),5,C91&gt;=_xlfn.PERCENTILE.INC($C$2:$C$288,0.6),4,C91&gt;=_xlfn.PERCENTILE.INC($C$2:$C$288,0.4),3,C91&gt;=_xlfn.PERCENTILE.INC($C$2:$C$288,0.2),2,TRUE,1)</f>
        <v>3</v>
      </c>
      <c r="G91" s="1" cm="1">
        <f t="array" ref="G91">_xlfn.IFS(D91&gt;=_xlfn.PERCENTILE.INC($D$2:$D$288,0.8),5,D91&gt;=_xlfn.PERCENTILE.INC($D$2:$D$288,0.6),4,D91&gt;=_xlfn.PERCENTILE.INC($D$2:$D$288,0.4),3,D91&gt;=_xlfn.PERCENTILE.INC($D$2:$D$288,0.2),2,TRUE,1)</f>
        <v>5</v>
      </c>
      <c r="H91" s="1">
        <f t="shared" si="1"/>
        <v>12</v>
      </c>
      <c r="I91" s="1" t="str" cm="1">
        <f t="array" ref="I91">_xlfn.IFS(H91&gt;=13,"Best Customers",H91&gt;=10,"Loyal Customers",H91&gt;=7,"Potential Loyal Customers",H91&gt;=4,"Need Attention",TRUE,"At Risk")</f>
        <v>Loyal Customers</v>
      </c>
    </row>
    <row r="92" spans="1:9">
      <c r="A92" s="1" t="s">
        <v>140</v>
      </c>
      <c r="B92" s="9">
        <v>174.59086805560199</v>
      </c>
      <c r="C92" s="1">
        <v>2</v>
      </c>
      <c r="D92" s="4">
        <v>32.729999999999997</v>
      </c>
      <c r="E92" s="1" cm="1">
        <f t="array" ref="E92">_xlfn.IFS(B92&lt;=_xlfn.PERCENTILE.INC($B$2:$B$288,0.2),5,B92&lt;=_xlfn.PERCENTILE.INC($B$2:$B$288,0.4),4,B92&lt;=_xlfn.PERCENTILE.INC($B$2:$B$288,0.6),3,B92&lt;=_xlfn.PERCENTILE.INC($B$2:$B$288,0.8),2,TRUE,1)</f>
        <v>1</v>
      </c>
      <c r="F92" s="1" cm="1">
        <f t="array" ref="F92">_xlfn.IFS(C92&gt;=_xlfn.PERCENTILE.INC($C$2:$C$288,0.8),5,C92&gt;=_xlfn.PERCENTILE.INC($C$2:$C$288,0.6),4,C92&gt;=_xlfn.PERCENTILE.INC($C$2:$C$288,0.4),3,C92&gt;=_xlfn.PERCENTILE.INC($C$2:$C$288,0.2),2,TRUE,1)</f>
        <v>2</v>
      </c>
      <c r="G92" s="1" cm="1">
        <f t="array" ref="G92">_xlfn.IFS(D92&gt;=_xlfn.PERCENTILE.INC($D$2:$D$288,0.8),5,D92&gt;=_xlfn.PERCENTILE.INC($D$2:$D$288,0.6),4,D92&gt;=_xlfn.PERCENTILE.INC($D$2:$D$288,0.4),3,D92&gt;=_xlfn.PERCENTILE.INC($D$2:$D$288,0.2),2,TRUE,1)</f>
        <v>2</v>
      </c>
      <c r="H92" s="1">
        <f t="shared" si="1"/>
        <v>5</v>
      </c>
      <c r="I92" s="1" t="str" cm="1">
        <f t="array" ref="I92">_xlfn.IFS(H92&gt;=13,"Best Customers",H92&gt;=10,"Loyal Customers",H92&gt;=7,"Potential Loyal Customers",H92&gt;=4,"Need Attention",TRUE,"At Risk")</f>
        <v>Need Attention</v>
      </c>
    </row>
    <row r="93" spans="1:9">
      <c r="A93" s="1" t="s">
        <v>460</v>
      </c>
      <c r="B93" s="9">
        <v>0.59086805560218603</v>
      </c>
      <c r="C93" s="1">
        <v>6</v>
      </c>
      <c r="D93" s="4">
        <v>122.55</v>
      </c>
      <c r="E93" s="1" cm="1">
        <f t="array" ref="E93">_xlfn.IFS(B93&lt;=_xlfn.PERCENTILE.INC($B$2:$B$288,0.2),5,B93&lt;=_xlfn.PERCENTILE.INC($B$2:$B$288,0.4),4,B93&lt;=_xlfn.PERCENTILE.INC($B$2:$B$288,0.6),3,B93&lt;=_xlfn.PERCENTILE.INC($B$2:$B$288,0.8),2,TRUE,1)</f>
        <v>5</v>
      </c>
      <c r="F93" s="1" cm="1">
        <f t="array" ref="F93">_xlfn.IFS(C93&gt;=_xlfn.PERCENTILE.INC($C$2:$C$288,0.8),5,C93&gt;=_xlfn.PERCENTILE.INC($C$2:$C$288,0.6),4,C93&gt;=_xlfn.PERCENTILE.INC($C$2:$C$288,0.4),3,C93&gt;=_xlfn.PERCENTILE.INC($C$2:$C$288,0.2),2,TRUE,1)</f>
        <v>5</v>
      </c>
      <c r="G93" s="1" cm="1">
        <f t="array" ref="G93">_xlfn.IFS(D93&gt;=_xlfn.PERCENTILE.INC($D$2:$D$288,0.8),5,D93&gt;=_xlfn.PERCENTILE.INC($D$2:$D$288,0.6),4,D93&gt;=_xlfn.PERCENTILE.INC($D$2:$D$288,0.4),3,D93&gt;=_xlfn.PERCENTILE.INC($D$2:$D$288,0.2),2,TRUE,1)</f>
        <v>5</v>
      </c>
      <c r="H93" s="1">
        <f t="shared" si="1"/>
        <v>15</v>
      </c>
      <c r="I93" s="1" t="str" cm="1">
        <f t="array" ref="I93">_xlfn.IFS(H93&gt;=13,"Best Customers",H93&gt;=10,"Loyal Customers",H93&gt;=7,"Potential Loyal Customers",H93&gt;=4,"Need Attention",TRUE,"At Risk")</f>
        <v>Best Customers</v>
      </c>
    </row>
    <row r="94" spans="1:9">
      <c r="A94" s="1" t="s">
        <v>703</v>
      </c>
      <c r="B94" s="9">
        <v>16.590868055602201</v>
      </c>
      <c r="C94" s="1">
        <v>2</v>
      </c>
      <c r="D94" s="4">
        <v>58.25</v>
      </c>
      <c r="E94" s="1" cm="1">
        <f t="array" ref="E94">_xlfn.IFS(B94&lt;=_xlfn.PERCENTILE.INC($B$2:$B$288,0.2),5,B94&lt;=_xlfn.PERCENTILE.INC($B$2:$B$288,0.4),4,B94&lt;=_xlfn.PERCENTILE.INC($B$2:$B$288,0.6),3,B94&lt;=_xlfn.PERCENTILE.INC($B$2:$B$288,0.8),2,TRUE,1)</f>
        <v>5</v>
      </c>
      <c r="F94" s="1" cm="1">
        <f t="array" ref="F94">_xlfn.IFS(C94&gt;=_xlfn.PERCENTILE.INC($C$2:$C$288,0.8),5,C94&gt;=_xlfn.PERCENTILE.INC($C$2:$C$288,0.6),4,C94&gt;=_xlfn.PERCENTILE.INC($C$2:$C$288,0.4),3,C94&gt;=_xlfn.PERCENTILE.INC($C$2:$C$288,0.2),2,TRUE,1)</f>
        <v>2</v>
      </c>
      <c r="G94" s="1" cm="1">
        <f t="array" ref="G94">_xlfn.IFS(D94&gt;=_xlfn.PERCENTILE.INC($D$2:$D$288,0.8),5,D94&gt;=_xlfn.PERCENTILE.INC($D$2:$D$288,0.6),4,D94&gt;=_xlfn.PERCENTILE.INC($D$2:$D$288,0.4),3,D94&gt;=_xlfn.PERCENTILE.INC($D$2:$D$288,0.2),2,TRUE,1)</f>
        <v>3</v>
      </c>
      <c r="H94" s="1">
        <f t="shared" si="1"/>
        <v>10</v>
      </c>
      <c r="I94" s="1" t="str" cm="1">
        <f t="array" ref="I94">_xlfn.IFS(H94&gt;=13,"Best Customers",H94&gt;=10,"Loyal Customers",H94&gt;=7,"Potential Loyal Customers",H94&gt;=4,"Need Attention",TRUE,"At Risk")</f>
        <v>Loyal Customers</v>
      </c>
    </row>
    <row r="95" spans="1:9">
      <c r="A95" s="1" t="s">
        <v>1047</v>
      </c>
      <c r="B95" s="9">
        <v>232.59086805560199</v>
      </c>
      <c r="C95" s="1">
        <v>2</v>
      </c>
      <c r="D95" s="4">
        <v>18.39</v>
      </c>
      <c r="E95" s="1" cm="1">
        <f t="array" ref="E95">_xlfn.IFS(B95&lt;=_xlfn.PERCENTILE.INC($B$2:$B$288,0.2),5,B95&lt;=_xlfn.PERCENTILE.INC($B$2:$B$288,0.4),4,B95&lt;=_xlfn.PERCENTILE.INC($B$2:$B$288,0.6),3,B95&lt;=_xlfn.PERCENTILE.INC($B$2:$B$288,0.8),2,TRUE,1)</f>
        <v>1</v>
      </c>
      <c r="F95" s="1" cm="1">
        <f t="array" ref="F95">_xlfn.IFS(C95&gt;=_xlfn.PERCENTILE.INC($C$2:$C$288,0.8),5,C95&gt;=_xlfn.PERCENTILE.INC($C$2:$C$288,0.6),4,C95&gt;=_xlfn.PERCENTILE.INC($C$2:$C$288,0.4),3,C95&gt;=_xlfn.PERCENTILE.INC($C$2:$C$288,0.2),2,TRUE,1)</f>
        <v>2</v>
      </c>
      <c r="G95" s="1" cm="1">
        <f t="array" ref="G95">_xlfn.IFS(D95&gt;=_xlfn.PERCENTILE.INC($D$2:$D$288,0.8),5,D95&gt;=_xlfn.PERCENTILE.INC($D$2:$D$288,0.6),4,D95&gt;=_xlfn.PERCENTILE.INC($D$2:$D$288,0.4),3,D95&gt;=_xlfn.PERCENTILE.INC($D$2:$D$288,0.2),2,TRUE,1)</f>
        <v>1</v>
      </c>
      <c r="H95" s="1">
        <f t="shared" si="1"/>
        <v>4</v>
      </c>
      <c r="I95" s="1" t="str" cm="1">
        <f t="array" ref="I95">_xlfn.IFS(H95&gt;=13,"Best Customers",H95&gt;=10,"Loyal Customers",H95&gt;=7,"Potential Loyal Customers",H95&gt;=4,"Need Attention",TRUE,"At Risk")</f>
        <v>Need Attention</v>
      </c>
    </row>
    <row r="96" spans="1:9">
      <c r="A96" s="1" t="s">
        <v>33</v>
      </c>
      <c r="B96" s="9">
        <v>174.59086805560199</v>
      </c>
      <c r="C96" s="1">
        <v>3</v>
      </c>
      <c r="D96" s="4">
        <v>70.75</v>
      </c>
      <c r="E96" s="1" cm="1">
        <f t="array" ref="E96">_xlfn.IFS(B96&lt;=_xlfn.PERCENTILE.INC($B$2:$B$288,0.2),5,B96&lt;=_xlfn.PERCENTILE.INC($B$2:$B$288,0.4),4,B96&lt;=_xlfn.PERCENTILE.INC($B$2:$B$288,0.6),3,B96&lt;=_xlfn.PERCENTILE.INC($B$2:$B$288,0.8),2,TRUE,1)</f>
        <v>1</v>
      </c>
      <c r="F96" s="1" cm="1">
        <f t="array" ref="F96">_xlfn.IFS(C96&gt;=_xlfn.PERCENTILE.INC($C$2:$C$288,0.8),5,C96&gt;=_xlfn.PERCENTILE.INC($C$2:$C$288,0.6),4,C96&gt;=_xlfn.PERCENTILE.INC($C$2:$C$288,0.4),3,C96&gt;=_xlfn.PERCENTILE.INC($C$2:$C$288,0.2),2,TRUE,1)</f>
        <v>3</v>
      </c>
      <c r="G96" s="1" cm="1">
        <f t="array" ref="G96">_xlfn.IFS(D96&gt;=_xlfn.PERCENTILE.INC($D$2:$D$288,0.8),5,D96&gt;=_xlfn.PERCENTILE.INC($D$2:$D$288,0.6),4,D96&gt;=_xlfn.PERCENTILE.INC($D$2:$D$288,0.4),3,D96&gt;=_xlfn.PERCENTILE.INC($D$2:$D$288,0.2),2,TRUE,1)</f>
        <v>4</v>
      </c>
      <c r="H96" s="1">
        <f t="shared" si="1"/>
        <v>8</v>
      </c>
      <c r="I96" s="1" t="str" cm="1">
        <f t="array" ref="I96">_xlfn.IFS(H96&gt;=13,"Best Customers",H96&gt;=10,"Loyal Customers",H96&gt;=7,"Potential Loyal Customers",H96&gt;=4,"Need Attention",TRUE,"At Risk")</f>
        <v>Potential Loyal Customers</v>
      </c>
    </row>
    <row r="97" spans="1:9">
      <c r="A97" s="1" t="s">
        <v>558</v>
      </c>
      <c r="B97" s="9">
        <v>2.5908680556021899</v>
      </c>
      <c r="C97" s="1">
        <v>5</v>
      </c>
      <c r="D97" s="4">
        <v>108.92</v>
      </c>
      <c r="E97" s="1" cm="1">
        <f t="array" ref="E97">_xlfn.IFS(B97&lt;=_xlfn.PERCENTILE.INC($B$2:$B$288,0.2),5,B97&lt;=_xlfn.PERCENTILE.INC($B$2:$B$288,0.4),4,B97&lt;=_xlfn.PERCENTILE.INC($B$2:$B$288,0.6),3,B97&lt;=_xlfn.PERCENTILE.INC($B$2:$B$288,0.8),2,TRUE,1)</f>
        <v>5</v>
      </c>
      <c r="F97" s="1" cm="1">
        <f t="array" ref="F97">_xlfn.IFS(C97&gt;=_xlfn.PERCENTILE.INC($C$2:$C$288,0.8),5,C97&gt;=_xlfn.PERCENTILE.INC($C$2:$C$288,0.6),4,C97&gt;=_xlfn.PERCENTILE.INC($C$2:$C$288,0.4),3,C97&gt;=_xlfn.PERCENTILE.INC($C$2:$C$288,0.2),2,TRUE,1)</f>
        <v>5</v>
      </c>
      <c r="G97" s="1" cm="1">
        <f t="array" ref="G97">_xlfn.IFS(D97&gt;=_xlfn.PERCENTILE.INC($D$2:$D$288,0.8),5,D97&gt;=_xlfn.PERCENTILE.INC($D$2:$D$288,0.6),4,D97&gt;=_xlfn.PERCENTILE.INC($D$2:$D$288,0.4),3,D97&gt;=_xlfn.PERCENTILE.INC($D$2:$D$288,0.2),2,TRUE,1)</f>
        <v>5</v>
      </c>
      <c r="H97" s="1">
        <f t="shared" si="1"/>
        <v>15</v>
      </c>
      <c r="I97" s="1" t="str" cm="1">
        <f t="array" ref="I97">_xlfn.IFS(H97&gt;=13,"Best Customers",H97&gt;=10,"Loyal Customers",H97&gt;=7,"Potential Loyal Customers",H97&gt;=4,"Need Attention",TRUE,"At Risk")</f>
        <v>Best Customers</v>
      </c>
    </row>
    <row r="98" spans="1:9">
      <c r="A98" s="1" t="s">
        <v>606</v>
      </c>
      <c r="B98" s="9">
        <v>329.59086805560202</v>
      </c>
      <c r="C98" s="1">
        <v>2</v>
      </c>
      <c r="D98" s="4">
        <v>22.2</v>
      </c>
      <c r="E98" s="1" cm="1">
        <f t="array" ref="E98">_xlfn.IFS(B98&lt;=_xlfn.PERCENTILE.INC($B$2:$B$288,0.2),5,B98&lt;=_xlfn.PERCENTILE.INC($B$2:$B$288,0.4),4,B98&lt;=_xlfn.PERCENTILE.INC($B$2:$B$288,0.6),3,B98&lt;=_xlfn.PERCENTILE.INC($B$2:$B$288,0.8),2,TRUE,1)</f>
        <v>1</v>
      </c>
      <c r="F98" s="1" cm="1">
        <f t="array" ref="F98">_xlfn.IFS(C98&gt;=_xlfn.PERCENTILE.INC($C$2:$C$288,0.8),5,C98&gt;=_xlfn.PERCENTILE.INC($C$2:$C$288,0.6),4,C98&gt;=_xlfn.PERCENTILE.INC($C$2:$C$288,0.4),3,C98&gt;=_xlfn.PERCENTILE.INC($C$2:$C$288,0.2),2,TRUE,1)</f>
        <v>2</v>
      </c>
      <c r="G98" s="1" cm="1">
        <f t="array" ref="G98">_xlfn.IFS(D98&gt;=_xlfn.PERCENTILE.INC($D$2:$D$288,0.8),5,D98&gt;=_xlfn.PERCENTILE.INC($D$2:$D$288,0.6),4,D98&gt;=_xlfn.PERCENTILE.INC($D$2:$D$288,0.4),3,D98&gt;=_xlfn.PERCENTILE.INC($D$2:$D$288,0.2),2,TRUE,1)</f>
        <v>1</v>
      </c>
      <c r="H98" s="1">
        <f t="shared" si="1"/>
        <v>4</v>
      </c>
      <c r="I98" s="1" t="str" cm="1">
        <f t="array" ref="I98">_xlfn.IFS(H98&gt;=13,"Best Customers",H98&gt;=10,"Loyal Customers",H98&gt;=7,"Potential Loyal Customers",H98&gt;=4,"Need Attention",TRUE,"At Risk")</f>
        <v>Need Attention</v>
      </c>
    </row>
    <row r="99" spans="1:9">
      <c r="A99" s="1" t="s">
        <v>94</v>
      </c>
      <c r="B99" s="9">
        <v>19.590868055602201</v>
      </c>
      <c r="C99" s="1">
        <v>6</v>
      </c>
      <c r="D99" s="4">
        <v>164.74</v>
      </c>
      <c r="E99" s="1" cm="1">
        <f t="array" ref="E99">_xlfn.IFS(B99&lt;=_xlfn.PERCENTILE.INC($B$2:$B$288,0.2),5,B99&lt;=_xlfn.PERCENTILE.INC($B$2:$B$288,0.4),4,B99&lt;=_xlfn.PERCENTILE.INC($B$2:$B$288,0.6),3,B99&lt;=_xlfn.PERCENTILE.INC($B$2:$B$288,0.8),2,TRUE,1)</f>
        <v>5</v>
      </c>
      <c r="F99" s="1" cm="1">
        <f t="array" ref="F99">_xlfn.IFS(C99&gt;=_xlfn.PERCENTILE.INC($C$2:$C$288,0.8),5,C99&gt;=_xlfn.PERCENTILE.INC($C$2:$C$288,0.6),4,C99&gt;=_xlfn.PERCENTILE.INC($C$2:$C$288,0.4),3,C99&gt;=_xlfn.PERCENTILE.INC($C$2:$C$288,0.2),2,TRUE,1)</f>
        <v>5</v>
      </c>
      <c r="G99" s="1" cm="1">
        <f t="array" ref="G99">_xlfn.IFS(D99&gt;=_xlfn.PERCENTILE.INC($D$2:$D$288,0.8),5,D99&gt;=_xlfn.PERCENTILE.INC($D$2:$D$288,0.6),4,D99&gt;=_xlfn.PERCENTILE.INC($D$2:$D$288,0.4),3,D99&gt;=_xlfn.PERCENTILE.INC($D$2:$D$288,0.2),2,TRUE,1)</f>
        <v>5</v>
      </c>
      <c r="H99" s="1">
        <f t="shared" si="1"/>
        <v>15</v>
      </c>
      <c r="I99" s="1" t="str" cm="1">
        <f t="array" ref="I99">_xlfn.IFS(H99&gt;=13,"Best Customers",H99&gt;=10,"Loyal Customers",H99&gt;=7,"Potential Loyal Customers",H99&gt;=4,"Need Attention",TRUE,"At Risk")</f>
        <v>Best Customers</v>
      </c>
    </row>
    <row r="100" spans="1:9">
      <c r="A100" s="1" t="s">
        <v>723</v>
      </c>
      <c r="B100" s="9">
        <v>265.59086805560202</v>
      </c>
      <c r="C100" s="1">
        <v>2</v>
      </c>
      <c r="D100" s="4">
        <v>19.489999999999998</v>
      </c>
      <c r="E100" s="1" cm="1">
        <f t="array" ref="E100">_xlfn.IFS(B100&lt;=_xlfn.PERCENTILE.INC($B$2:$B$288,0.2),5,B100&lt;=_xlfn.PERCENTILE.INC($B$2:$B$288,0.4),4,B100&lt;=_xlfn.PERCENTILE.INC($B$2:$B$288,0.6),3,B100&lt;=_xlfn.PERCENTILE.INC($B$2:$B$288,0.8),2,TRUE,1)</f>
        <v>1</v>
      </c>
      <c r="F100" s="1" cm="1">
        <f t="array" ref="F100">_xlfn.IFS(C100&gt;=_xlfn.PERCENTILE.INC($C$2:$C$288,0.8),5,C100&gt;=_xlfn.PERCENTILE.INC($C$2:$C$288,0.6),4,C100&gt;=_xlfn.PERCENTILE.INC($C$2:$C$288,0.4),3,C100&gt;=_xlfn.PERCENTILE.INC($C$2:$C$288,0.2),2,TRUE,1)</f>
        <v>2</v>
      </c>
      <c r="G100" s="1" cm="1">
        <f t="array" ref="G100">_xlfn.IFS(D100&gt;=_xlfn.PERCENTILE.INC($D$2:$D$288,0.8),5,D100&gt;=_xlfn.PERCENTILE.INC($D$2:$D$288,0.6),4,D100&gt;=_xlfn.PERCENTILE.INC($D$2:$D$288,0.4),3,D100&gt;=_xlfn.PERCENTILE.INC($D$2:$D$288,0.2),2,TRUE,1)</f>
        <v>1</v>
      </c>
      <c r="H100" s="1">
        <f t="shared" si="1"/>
        <v>4</v>
      </c>
      <c r="I100" s="1" t="str" cm="1">
        <f t="array" ref="I100">_xlfn.IFS(H100&gt;=13,"Best Customers",H100&gt;=10,"Loyal Customers",H100&gt;=7,"Potential Loyal Customers",H100&gt;=4,"Need Attention",TRUE,"At Risk")</f>
        <v>Need Attention</v>
      </c>
    </row>
    <row r="101" spans="1:9">
      <c r="A101" s="1" t="s">
        <v>217</v>
      </c>
      <c r="B101" s="9">
        <v>35.590868055602201</v>
      </c>
      <c r="C101" s="1">
        <v>3</v>
      </c>
      <c r="D101" s="4">
        <v>91.44</v>
      </c>
      <c r="E101" s="1" cm="1">
        <f t="array" ref="E101">_xlfn.IFS(B101&lt;=_xlfn.PERCENTILE.INC($B$2:$B$288,0.2),5,B101&lt;=_xlfn.PERCENTILE.INC($B$2:$B$288,0.4),4,B101&lt;=_xlfn.PERCENTILE.INC($B$2:$B$288,0.6),3,B101&lt;=_xlfn.PERCENTILE.INC($B$2:$B$288,0.8),2,TRUE,1)</f>
        <v>4</v>
      </c>
      <c r="F101" s="1" cm="1">
        <f t="array" ref="F101">_xlfn.IFS(C101&gt;=_xlfn.PERCENTILE.INC($C$2:$C$288,0.8),5,C101&gt;=_xlfn.PERCENTILE.INC($C$2:$C$288,0.6),4,C101&gt;=_xlfn.PERCENTILE.INC($C$2:$C$288,0.4),3,C101&gt;=_xlfn.PERCENTILE.INC($C$2:$C$288,0.2),2,TRUE,1)</f>
        <v>3</v>
      </c>
      <c r="G101" s="1" cm="1">
        <f t="array" ref="G101">_xlfn.IFS(D101&gt;=_xlfn.PERCENTILE.INC($D$2:$D$288,0.8),5,D101&gt;=_xlfn.PERCENTILE.INC($D$2:$D$288,0.6),4,D101&gt;=_xlfn.PERCENTILE.INC($D$2:$D$288,0.4),3,D101&gt;=_xlfn.PERCENTILE.INC($D$2:$D$288,0.2),2,TRUE,1)</f>
        <v>5</v>
      </c>
      <c r="H101" s="1">
        <f t="shared" si="1"/>
        <v>12</v>
      </c>
      <c r="I101" s="1" t="str" cm="1">
        <f t="array" ref="I101">_xlfn.IFS(H101&gt;=13,"Best Customers",H101&gt;=10,"Loyal Customers",H101&gt;=7,"Potential Loyal Customers",H101&gt;=4,"Need Attention",TRUE,"At Risk")</f>
        <v>Loyal Customers</v>
      </c>
    </row>
    <row r="102" spans="1:9">
      <c r="A102" s="1" t="s">
        <v>687</v>
      </c>
      <c r="B102" s="9">
        <v>126.590868055602</v>
      </c>
      <c r="C102" s="1">
        <v>3</v>
      </c>
      <c r="D102" s="4">
        <v>29.13</v>
      </c>
      <c r="E102" s="1" cm="1">
        <f t="array" ref="E102">_xlfn.IFS(B102&lt;=_xlfn.PERCENTILE.INC($B$2:$B$288,0.2),5,B102&lt;=_xlfn.PERCENTILE.INC($B$2:$B$288,0.4),4,B102&lt;=_xlfn.PERCENTILE.INC($B$2:$B$288,0.6),3,B102&lt;=_xlfn.PERCENTILE.INC($B$2:$B$288,0.8),2,TRUE,1)</f>
        <v>2</v>
      </c>
      <c r="F102" s="1" cm="1">
        <f t="array" ref="F102">_xlfn.IFS(C102&gt;=_xlfn.PERCENTILE.INC($C$2:$C$288,0.8),5,C102&gt;=_xlfn.PERCENTILE.INC($C$2:$C$288,0.6),4,C102&gt;=_xlfn.PERCENTILE.INC($C$2:$C$288,0.4),3,C102&gt;=_xlfn.PERCENTILE.INC($C$2:$C$288,0.2),2,TRUE,1)</f>
        <v>3</v>
      </c>
      <c r="G102" s="1" cm="1">
        <f t="array" ref="G102">_xlfn.IFS(D102&gt;=_xlfn.PERCENTILE.INC($D$2:$D$288,0.8),5,D102&gt;=_xlfn.PERCENTILE.INC($D$2:$D$288,0.6),4,D102&gt;=_xlfn.PERCENTILE.INC($D$2:$D$288,0.4),3,D102&gt;=_xlfn.PERCENTILE.INC($D$2:$D$288,0.2),2,TRUE,1)</f>
        <v>2</v>
      </c>
      <c r="H102" s="1">
        <f t="shared" si="1"/>
        <v>7</v>
      </c>
      <c r="I102" s="1" t="str" cm="1">
        <f t="array" ref="I102">_xlfn.IFS(H102&gt;=13,"Best Customers",H102&gt;=10,"Loyal Customers",H102&gt;=7,"Potential Loyal Customers",H102&gt;=4,"Need Attention",TRUE,"At Risk")</f>
        <v>Potential Loyal Customers</v>
      </c>
    </row>
    <row r="103" spans="1:9">
      <c r="A103" s="1" t="s">
        <v>555</v>
      </c>
      <c r="B103" s="9">
        <v>80.590868055602201</v>
      </c>
      <c r="C103" s="1">
        <v>6</v>
      </c>
      <c r="D103" s="4">
        <v>72.05</v>
      </c>
      <c r="E103" s="1" cm="1">
        <f t="array" ref="E103">_xlfn.IFS(B103&lt;=_xlfn.PERCENTILE.INC($B$2:$B$288,0.2),5,B103&lt;=_xlfn.PERCENTILE.INC($B$2:$B$288,0.4),4,B103&lt;=_xlfn.PERCENTILE.INC($B$2:$B$288,0.6),3,B103&lt;=_xlfn.PERCENTILE.INC($B$2:$B$288,0.8),2,TRUE,1)</f>
        <v>3</v>
      </c>
      <c r="F103" s="1" cm="1">
        <f t="array" ref="F103">_xlfn.IFS(C103&gt;=_xlfn.PERCENTILE.INC($C$2:$C$288,0.8),5,C103&gt;=_xlfn.PERCENTILE.INC($C$2:$C$288,0.6),4,C103&gt;=_xlfn.PERCENTILE.INC($C$2:$C$288,0.4),3,C103&gt;=_xlfn.PERCENTILE.INC($C$2:$C$288,0.2),2,TRUE,1)</f>
        <v>5</v>
      </c>
      <c r="G103" s="1" cm="1">
        <f t="array" ref="G103">_xlfn.IFS(D103&gt;=_xlfn.PERCENTILE.INC($D$2:$D$288,0.8),5,D103&gt;=_xlfn.PERCENTILE.INC($D$2:$D$288,0.6),4,D103&gt;=_xlfn.PERCENTILE.INC($D$2:$D$288,0.4),3,D103&gt;=_xlfn.PERCENTILE.INC($D$2:$D$288,0.2),2,TRUE,1)</f>
        <v>4</v>
      </c>
      <c r="H103" s="1">
        <f t="shared" si="1"/>
        <v>12</v>
      </c>
      <c r="I103" s="1" t="str" cm="1">
        <f t="array" ref="I103">_xlfn.IFS(H103&gt;=13,"Best Customers",H103&gt;=10,"Loyal Customers",H103&gt;=7,"Potential Loyal Customers",H103&gt;=4,"Need Attention",TRUE,"At Risk")</f>
        <v>Loyal Customers</v>
      </c>
    </row>
    <row r="104" spans="1:9">
      <c r="A104" s="1" t="s">
        <v>458</v>
      </c>
      <c r="B104" s="9">
        <v>328.59086805560202</v>
      </c>
      <c r="C104" s="1">
        <v>1</v>
      </c>
      <c r="D104" s="4">
        <v>8.01</v>
      </c>
      <c r="E104" s="1" cm="1">
        <f t="array" ref="E104">_xlfn.IFS(B104&lt;=_xlfn.PERCENTILE.INC($B$2:$B$288,0.2),5,B104&lt;=_xlfn.PERCENTILE.INC($B$2:$B$288,0.4),4,B104&lt;=_xlfn.PERCENTILE.INC($B$2:$B$288,0.6),3,B104&lt;=_xlfn.PERCENTILE.INC($B$2:$B$288,0.8),2,TRUE,1)</f>
        <v>1</v>
      </c>
      <c r="F104" s="1" cm="1">
        <f t="array" ref="F104">_xlfn.IFS(C104&gt;=_xlfn.PERCENTILE.INC($C$2:$C$288,0.8),5,C104&gt;=_xlfn.PERCENTILE.INC($C$2:$C$288,0.6),4,C104&gt;=_xlfn.PERCENTILE.INC($C$2:$C$288,0.4),3,C104&gt;=_xlfn.PERCENTILE.INC($C$2:$C$288,0.2),2,TRUE,1)</f>
        <v>1</v>
      </c>
      <c r="G104" s="1" cm="1">
        <f t="array" ref="G104">_xlfn.IFS(D104&gt;=_xlfn.PERCENTILE.INC($D$2:$D$288,0.8),5,D104&gt;=_xlfn.PERCENTILE.INC($D$2:$D$288,0.6),4,D104&gt;=_xlfn.PERCENTILE.INC($D$2:$D$288,0.4),3,D104&gt;=_xlfn.PERCENTILE.INC($D$2:$D$288,0.2),2,TRUE,1)</f>
        <v>1</v>
      </c>
      <c r="H104" s="1">
        <f t="shared" si="1"/>
        <v>3</v>
      </c>
      <c r="I104" s="1" t="str" cm="1">
        <f t="array" ref="I104">_xlfn.IFS(H104&gt;=13,"Best Customers",H104&gt;=10,"Loyal Customers",H104&gt;=7,"Potential Loyal Customers",H104&gt;=4,"Need Attention",TRUE,"At Risk")</f>
        <v>At Risk</v>
      </c>
    </row>
    <row r="105" spans="1:9">
      <c r="A105" s="1" t="s">
        <v>236</v>
      </c>
      <c r="B105" s="9">
        <v>91.590868055602201</v>
      </c>
      <c r="C105" s="1">
        <v>2</v>
      </c>
      <c r="D105" s="4">
        <v>52.1</v>
      </c>
      <c r="E105" s="1" cm="1">
        <f t="array" ref="E105">_xlfn.IFS(B105&lt;=_xlfn.PERCENTILE.INC($B$2:$B$288,0.2),5,B105&lt;=_xlfn.PERCENTILE.INC($B$2:$B$288,0.4),4,B105&lt;=_xlfn.PERCENTILE.INC($B$2:$B$288,0.6),3,B105&lt;=_xlfn.PERCENTILE.INC($B$2:$B$288,0.8),2,TRUE,1)</f>
        <v>3</v>
      </c>
      <c r="F105" s="1" cm="1">
        <f t="array" ref="F105">_xlfn.IFS(C105&gt;=_xlfn.PERCENTILE.INC($C$2:$C$288,0.8),5,C105&gt;=_xlfn.PERCENTILE.INC($C$2:$C$288,0.6),4,C105&gt;=_xlfn.PERCENTILE.INC($C$2:$C$288,0.4),3,C105&gt;=_xlfn.PERCENTILE.INC($C$2:$C$288,0.2),2,TRUE,1)</f>
        <v>2</v>
      </c>
      <c r="G105" s="1" cm="1">
        <f t="array" ref="G105">_xlfn.IFS(D105&gt;=_xlfn.PERCENTILE.INC($D$2:$D$288,0.8),5,D105&gt;=_xlfn.PERCENTILE.INC($D$2:$D$288,0.6),4,D105&gt;=_xlfn.PERCENTILE.INC($D$2:$D$288,0.4),3,D105&gt;=_xlfn.PERCENTILE.INC($D$2:$D$288,0.2),2,TRUE,1)</f>
        <v>3</v>
      </c>
      <c r="H105" s="1">
        <f t="shared" si="1"/>
        <v>8</v>
      </c>
      <c r="I105" s="1" t="str" cm="1">
        <f t="array" ref="I105">_xlfn.IFS(H105&gt;=13,"Best Customers",H105&gt;=10,"Loyal Customers",H105&gt;=7,"Potential Loyal Customers",H105&gt;=4,"Need Attention",TRUE,"At Risk")</f>
        <v>Potential Loyal Customers</v>
      </c>
    </row>
    <row r="106" spans="1:9">
      <c r="A106" s="1" t="s">
        <v>130</v>
      </c>
      <c r="B106" s="9">
        <v>5.5908680556021899</v>
      </c>
      <c r="C106" s="1">
        <v>5</v>
      </c>
      <c r="D106" s="4">
        <v>108.18</v>
      </c>
      <c r="E106" s="1" cm="1">
        <f t="array" ref="E106">_xlfn.IFS(B106&lt;=_xlfn.PERCENTILE.INC($B$2:$B$288,0.2),5,B106&lt;=_xlfn.PERCENTILE.INC($B$2:$B$288,0.4),4,B106&lt;=_xlfn.PERCENTILE.INC($B$2:$B$288,0.6),3,B106&lt;=_xlfn.PERCENTILE.INC($B$2:$B$288,0.8),2,TRUE,1)</f>
        <v>5</v>
      </c>
      <c r="F106" s="1" cm="1">
        <f t="array" ref="F106">_xlfn.IFS(C106&gt;=_xlfn.PERCENTILE.INC($C$2:$C$288,0.8),5,C106&gt;=_xlfn.PERCENTILE.INC($C$2:$C$288,0.6),4,C106&gt;=_xlfn.PERCENTILE.INC($C$2:$C$288,0.4),3,C106&gt;=_xlfn.PERCENTILE.INC($C$2:$C$288,0.2),2,TRUE,1)</f>
        <v>5</v>
      </c>
      <c r="G106" s="1" cm="1">
        <f t="array" ref="G106">_xlfn.IFS(D106&gt;=_xlfn.PERCENTILE.INC($D$2:$D$288,0.8),5,D106&gt;=_xlfn.PERCENTILE.INC($D$2:$D$288,0.6),4,D106&gt;=_xlfn.PERCENTILE.INC($D$2:$D$288,0.4),3,D106&gt;=_xlfn.PERCENTILE.INC($D$2:$D$288,0.2),2,TRUE,1)</f>
        <v>5</v>
      </c>
      <c r="H106" s="1">
        <f t="shared" si="1"/>
        <v>15</v>
      </c>
      <c r="I106" s="1" t="str" cm="1">
        <f t="array" ref="I106">_xlfn.IFS(H106&gt;=13,"Best Customers",H106&gt;=10,"Loyal Customers",H106&gt;=7,"Potential Loyal Customers",H106&gt;=4,"Need Attention",TRUE,"At Risk")</f>
        <v>Best Customers</v>
      </c>
    </row>
    <row r="107" spans="1:9">
      <c r="A107" s="1" t="s">
        <v>391</v>
      </c>
      <c r="B107" s="9">
        <v>110.590868055602</v>
      </c>
      <c r="C107" s="1">
        <v>1</v>
      </c>
      <c r="D107" s="4">
        <v>11.81</v>
      </c>
      <c r="E107" s="1" cm="1">
        <f t="array" ref="E107">_xlfn.IFS(B107&lt;=_xlfn.PERCENTILE.INC($B$2:$B$288,0.2),5,B107&lt;=_xlfn.PERCENTILE.INC($B$2:$B$288,0.4),4,B107&lt;=_xlfn.PERCENTILE.INC($B$2:$B$288,0.6),3,B107&lt;=_xlfn.PERCENTILE.INC($B$2:$B$288,0.8),2,TRUE,1)</f>
        <v>2</v>
      </c>
      <c r="F107" s="1" cm="1">
        <f t="array" ref="F107">_xlfn.IFS(C107&gt;=_xlfn.PERCENTILE.INC($C$2:$C$288,0.8),5,C107&gt;=_xlfn.PERCENTILE.INC($C$2:$C$288,0.6),4,C107&gt;=_xlfn.PERCENTILE.INC($C$2:$C$288,0.4),3,C107&gt;=_xlfn.PERCENTILE.INC($C$2:$C$288,0.2),2,TRUE,1)</f>
        <v>1</v>
      </c>
      <c r="G107" s="1" cm="1">
        <f t="array" ref="G107">_xlfn.IFS(D107&gt;=_xlfn.PERCENTILE.INC($D$2:$D$288,0.8),5,D107&gt;=_xlfn.PERCENTILE.INC($D$2:$D$288,0.6),4,D107&gt;=_xlfn.PERCENTILE.INC($D$2:$D$288,0.4),3,D107&gt;=_xlfn.PERCENTILE.INC($D$2:$D$288,0.2),2,TRUE,1)</f>
        <v>1</v>
      </c>
      <c r="H107" s="1">
        <f t="shared" si="1"/>
        <v>4</v>
      </c>
      <c r="I107" s="1" t="str" cm="1">
        <f t="array" ref="I107">_xlfn.IFS(H107&gt;=13,"Best Customers",H107&gt;=10,"Loyal Customers",H107&gt;=7,"Potential Loyal Customers",H107&gt;=4,"Need Attention",TRUE,"At Risk")</f>
        <v>Need Attention</v>
      </c>
    </row>
    <row r="108" spans="1:9">
      <c r="A108" s="1" t="s">
        <v>325</v>
      </c>
      <c r="B108" s="9">
        <v>47.590868055602201</v>
      </c>
      <c r="C108" s="1">
        <v>3</v>
      </c>
      <c r="D108" s="4">
        <v>36.65</v>
      </c>
      <c r="E108" s="1" cm="1">
        <f t="array" ref="E108">_xlfn.IFS(B108&lt;=_xlfn.PERCENTILE.INC($B$2:$B$288,0.2),5,B108&lt;=_xlfn.PERCENTILE.INC($B$2:$B$288,0.4),4,B108&lt;=_xlfn.PERCENTILE.INC($B$2:$B$288,0.6),3,B108&lt;=_xlfn.PERCENTILE.INC($B$2:$B$288,0.8),2,TRUE,1)</f>
        <v>4</v>
      </c>
      <c r="F108" s="1" cm="1">
        <f t="array" ref="F108">_xlfn.IFS(C108&gt;=_xlfn.PERCENTILE.INC($C$2:$C$288,0.8),5,C108&gt;=_xlfn.PERCENTILE.INC($C$2:$C$288,0.6),4,C108&gt;=_xlfn.PERCENTILE.INC($C$2:$C$288,0.4),3,C108&gt;=_xlfn.PERCENTILE.INC($C$2:$C$288,0.2),2,TRUE,1)</f>
        <v>3</v>
      </c>
      <c r="G108" s="1" cm="1">
        <f t="array" ref="G108">_xlfn.IFS(D108&gt;=_xlfn.PERCENTILE.INC($D$2:$D$288,0.8),5,D108&gt;=_xlfn.PERCENTILE.INC($D$2:$D$288,0.6),4,D108&gt;=_xlfn.PERCENTILE.INC($D$2:$D$288,0.4),3,D108&gt;=_xlfn.PERCENTILE.INC($D$2:$D$288,0.2),2,TRUE,1)</f>
        <v>2</v>
      </c>
      <c r="H108" s="1">
        <f t="shared" si="1"/>
        <v>9</v>
      </c>
      <c r="I108" s="1" t="str" cm="1">
        <f t="array" ref="I108">_xlfn.IFS(H108&gt;=13,"Best Customers",H108&gt;=10,"Loyal Customers",H108&gt;=7,"Potential Loyal Customers",H108&gt;=4,"Need Attention",TRUE,"At Risk")</f>
        <v>Potential Loyal Customers</v>
      </c>
    </row>
    <row r="109" spans="1:9">
      <c r="A109" s="1" t="s">
        <v>327</v>
      </c>
      <c r="B109" s="9">
        <v>85.590868055602201</v>
      </c>
      <c r="C109" s="1">
        <v>3</v>
      </c>
      <c r="D109" s="4">
        <v>57.95</v>
      </c>
      <c r="E109" s="1" cm="1">
        <f t="array" ref="E109">_xlfn.IFS(B109&lt;=_xlfn.PERCENTILE.INC($B$2:$B$288,0.2),5,B109&lt;=_xlfn.PERCENTILE.INC($B$2:$B$288,0.4),4,B109&lt;=_xlfn.PERCENTILE.INC($B$2:$B$288,0.6),3,B109&lt;=_xlfn.PERCENTILE.INC($B$2:$B$288,0.8),2,TRUE,1)</f>
        <v>3</v>
      </c>
      <c r="F109" s="1" cm="1">
        <f t="array" ref="F109">_xlfn.IFS(C109&gt;=_xlfn.PERCENTILE.INC($C$2:$C$288,0.8),5,C109&gt;=_xlfn.PERCENTILE.INC($C$2:$C$288,0.6),4,C109&gt;=_xlfn.PERCENTILE.INC($C$2:$C$288,0.4),3,C109&gt;=_xlfn.PERCENTILE.INC($C$2:$C$288,0.2),2,TRUE,1)</f>
        <v>3</v>
      </c>
      <c r="G109" s="1" cm="1">
        <f t="array" ref="G109">_xlfn.IFS(D109&gt;=_xlfn.PERCENTILE.INC($D$2:$D$288,0.8),5,D109&gt;=_xlfn.PERCENTILE.INC($D$2:$D$288,0.6),4,D109&gt;=_xlfn.PERCENTILE.INC($D$2:$D$288,0.4),3,D109&gt;=_xlfn.PERCENTILE.INC($D$2:$D$288,0.2),2,TRUE,1)</f>
        <v>3</v>
      </c>
      <c r="H109" s="1">
        <f t="shared" si="1"/>
        <v>9</v>
      </c>
      <c r="I109" s="1" t="str" cm="1">
        <f t="array" ref="I109">_xlfn.IFS(H109&gt;=13,"Best Customers",H109&gt;=10,"Loyal Customers",H109&gt;=7,"Potential Loyal Customers",H109&gt;=4,"Need Attention",TRUE,"At Risk")</f>
        <v>Potential Loyal Customers</v>
      </c>
    </row>
    <row r="110" spans="1:9">
      <c r="A110" s="1" t="s">
        <v>177</v>
      </c>
      <c r="B110" s="9">
        <v>98.590868055602201</v>
      </c>
      <c r="C110" s="1">
        <v>3</v>
      </c>
      <c r="D110" s="4">
        <v>52.66</v>
      </c>
      <c r="E110" s="1" cm="1">
        <f t="array" ref="E110">_xlfn.IFS(B110&lt;=_xlfn.PERCENTILE.INC($B$2:$B$288,0.2),5,B110&lt;=_xlfn.PERCENTILE.INC($B$2:$B$288,0.4),4,B110&lt;=_xlfn.PERCENTILE.INC($B$2:$B$288,0.6),3,B110&lt;=_xlfn.PERCENTILE.INC($B$2:$B$288,0.8),2,TRUE,1)</f>
        <v>3</v>
      </c>
      <c r="F110" s="1" cm="1">
        <f t="array" ref="F110">_xlfn.IFS(C110&gt;=_xlfn.PERCENTILE.INC($C$2:$C$288,0.8),5,C110&gt;=_xlfn.PERCENTILE.INC($C$2:$C$288,0.6),4,C110&gt;=_xlfn.PERCENTILE.INC($C$2:$C$288,0.4),3,C110&gt;=_xlfn.PERCENTILE.INC($C$2:$C$288,0.2),2,TRUE,1)</f>
        <v>3</v>
      </c>
      <c r="G110" s="1" cm="1">
        <f t="array" ref="G110">_xlfn.IFS(D110&gt;=_xlfn.PERCENTILE.INC($D$2:$D$288,0.8),5,D110&gt;=_xlfn.PERCENTILE.INC($D$2:$D$288,0.6),4,D110&gt;=_xlfn.PERCENTILE.INC($D$2:$D$288,0.4),3,D110&gt;=_xlfn.PERCENTILE.INC($D$2:$D$288,0.2),2,TRUE,1)</f>
        <v>3</v>
      </c>
      <c r="H110" s="1">
        <f t="shared" si="1"/>
        <v>9</v>
      </c>
      <c r="I110" s="1" t="str" cm="1">
        <f t="array" ref="I110">_xlfn.IFS(H110&gt;=13,"Best Customers",H110&gt;=10,"Loyal Customers",H110&gt;=7,"Potential Loyal Customers",H110&gt;=4,"Need Attention",TRUE,"At Risk")</f>
        <v>Potential Loyal Customers</v>
      </c>
    </row>
    <row r="111" spans="1:9">
      <c r="A111" s="1" t="s">
        <v>952</v>
      </c>
      <c r="B111" s="9">
        <v>132.59086805560199</v>
      </c>
      <c r="C111" s="1">
        <v>1</v>
      </c>
      <c r="D111" s="4">
        <v>4.38</v>
      </c>
      <c r="E111" s="1" cm="1">
        <f t="array" ref="E111">_xlfn.IFS(B111&lt;=_xlfn.PERCENTILE.INC($B$2:$B$288,0.2),5,B111&lt;=_xlfn.PERCENTILE.INC($B$2:$B$288,0.4),4,B111&lt;=_xlfn.PERCENTILE.INC($B$2:$B$288,0.6),3,B111&lt;=_xlfn.PERCENTILE.INC($B$2:$B$288,0.8),2,TRUE,1)</f>
        <v>2</v>
      </c>
      <c r="F111" s="1" cm="1">
        <f t="array" ref="F111">_xlfn.IFS(C111&gt;=_xlfn.PERCENTILE.INC($C$2:$C$288,0.8),5,C111&gt;=_xlfn.PERCENTILE.INC($C$2:$C$288,0.6),4,C111&gt;=_xlfn.PERCENTILE.INC($C$2:$C$288,0.4),3,C111&gt;=_xlfn.PERCENTILE.INC($C$2:$C$288,0.2),2,TRUE,1)</f>
        <v>1</v>
      </c>
      <c r="G111" s="1" cm="1">
        <f t="array" ref="G111">_xlfn.IFS(D111&gt;=_xlfn.PERCENTILE.INC($D$2:$D$288,0.8),5,D111&gt;=_xlfn.PERCENTILE.INC($D$2:$D$288,0.6),4,D111&gt;=_xlfn.PERCENTILE.INC($D$2:$D$288,0.4),3,D111&gt;=_xlfn.PERCENTILE.INC($D$2:$D$288,0.2),2,TRUE,1)</f>
        <v>1</v>
      </c>
      <c r="H111" s="1">
        <f t="shared" si="1"/>
        <v>4</v>
      </c>
      <c r="I111" s="1" t="str" cm="1">
        <f t="array" ref="I111">_xlfn.IFS(H111&gt;=13,"Best Customers",H111&gt;=10,"Loyal Customers",H111&gt;=7,"Potential Loyal Customers",H111&gt;=4,"Need Attention",TRUE,"At Risk")</f>
        <v>Need Attention</v>
      </c>
    </row>
    <row r="112" spans="1:9">
      <c r="A112" s="1" t="s">
        <v>248</v>
      </c>
      <c r="B112" s="9">
        <v>14.590868055602201</v>
      </c>
      <c r="C112" s="1">
        <v>7</v>
      </c>
      <c r="D112" s="4">
        <v>150.87</v>
      </c>
      <c r="E112" s="1" cm="1">
        <f t="array" ref="E112">_xlfn.IFS(B112&lt;=_xlfn.PERCENTILE.INC($B$2:$B$288,0.2),5,B112&lt;=_xlfn.PERCENTILE.INC($B$2:$B$288,0.4),4,B112&lt;=_xlfn.PERCENTILE.INC($B$2:$B$288,0.6),3,B112&lt;=_xlfn.PERCENTILE.INC($B$2:$B$288,0.8),2,TRUE,1)</f>
        <v>5</v>
      </c>
      <c r="F112" s="1" cm="1">
        <f t="array" ref="F112">_xlfn.IFS(C112&gt;=_xlfn.PERCENTILE.INC($C$2:$C$288,0.8),5,C112&gt;=_xlfn.PERCENTILE.INC($C$2:$C$288,0.6),4,C112&gt;=_xlfn.PERCENTILE.INC($C$2:$C$288,0.4),3,C112&gt;=_xlfn.PERCENTILE.INC($C$2:$C$288,0.2),2,TRUE,1)</f>
        <v>5</v>
      </c>
      <c r="G112" s="1" cm="1">
        <f t="array" ref="G112">_xlfn.IFS(D112&gt;=_xlfn.PERCENTILE.INC($D$2:$D$288,0.8),5,D112&gt;=_xlfn.PERCENTILE.INC($D$2:$D$288,0.6),4,D112&gt;=_xlfn.PERCENTILE.INC($D$2:$D$288,0.4),3,D112&gt;=_xlfn.PERCENTILE.INC($D$2:$D$288,0.2),2,TRUE,1)</f>
        <v>5</v>
      </c>
      <c r="H112" s="1">
        <f t="shared" si="1"/>
        <v>15</v>
      </c>
      <c r="I112" s="1" t="str" cm="1">
        <f t="array" ref="I112">_xlfn.IFS(H112&gt;=13,"Best Customers",H112&gt;=10,"Loyal Customers",H112&gt;=7,"Potential Loyal Customers",H112&gt;=4,"Need Attention",TRUE,"At Risk")</f>
        <v>Best Customers</v>
      </c>
    </row>
    <row r="113" spans="1:9">
      <c r="A113" s="1" t="s">
        <v>153</v>
      </c>
      <c r="B113" s="9">
        <v>81.590868055602201</v>
      </c>
      <c r="C113" s="1">
        <v>4</v>
      </c>
      <c r="D113" s="4">
        <v>46.04</v>
      </c>
      <c r="E113" s="1" cm="1">
        <f t="array" ref="E113">_xlfn.IFS(B113&lt;=_xlfn.PERCENTILE.INC($B$2:$B$288,0.2),5,B113&lt;=_xlfn.PERCENTILE.INC($B$2:$B$288,0.4),4,B113&lt;=_xlfn.PERCENTILE.INC($B$2:$B$288,0.6),3,B113&lt;=_xlfn.PERCENTILE.INC($B$2:$B$288,0.8),2,TRUE,1)</f>
        <v>3</v>
      </c>
      <c r="F113" s="1" cm="1">
        <f t="array" ref="F113">_xlfn.IFS(C113&gt;=_xlfn.PERCENTILE.INC($C$2:$C$288,0.8),5,C113&gt;=_xlfn.PERCENTILE.INC($C$2:$C$288,0.6),4,C113&gt;=_xlfn.PERCENTILE.INC($C$2:$C$288,0.4),3,C113&gt;=_xlfn.PERCENTILE.INC($C$2:$C$288,0.2),2,TRUE,1)</f>
        <v>4</v>
      </c>
      <c r="G113" s="1" cm="1">
        <f t="array" ref="G113">_xlfn.IFS(D113&gt;=_xlfn.PERCENTILE.INC($D$2:$D$288,0.8),5,D113&gt;=_xlfn.PERCENTILE.INC($D$2:$D$288,0.6),4,D113&gt;=_xlfn.PERCENTILE.INC($D$2:$D$288,0.4),3,D113&gt;=_xlfn.PERCENTILE.INC($D$2:$D$288,0.2),2,TRUE,1)</f>
        <v>2</v>
      </c>
      <c r="H113" s="1">
        <f t="shared" si="1"/>
        <v>9</v>
      </c>
      <c r="I113" s="1" t="str" cm="1">
        <f t="array" ref="I113">_xlfn.IFS(H113&gt;=13,"Best Customers",H113&gt;=10,"Loyal Customers",H113&gt;=7,"Potential Loyal Customers",H113&gt;=4,"Need Attention",TRUE,"At Risk")</f>
        <v>Potential Loyal Customers</v>
      </c>
    </row>
    <row r="114" spans="1:9">
      <c r="A114" s="1" t="s">
        <v>409</v>
      </c>
      <c r="B114" s="9">
        <v>53.590868055602201</v>
      </c>
      <c r="C114" s="1">
        <v>5</v>
      </c>
      <c r="D114" s="4">
        <v>106.08</v>
      </c>
      <c r="E114" s="1" cm="1">
        <f t="array" ref="E114">_xlfn.IFS(B114&lt;=_xlfn.PERCENTILE.INC($B$2:$B$288,0.2),5,B114&lt;=_xlfn.PERCENTILE.INC($B$2:$B$288,0.4),4,B114&lt;=_xlfn.PERCENTILE.INC($B$2:$B$288,0.6),3,B114&lt;=_xlfn.PERCENTILE.INC($B$2:$B$288,0.8),2,TRUE,1)</f>
        <v>4</v>
      </c>
      <c r="F114" s="1" cm="1">
        <f t="array" ref="F114">_xlfn.IFS(C114&gt;=_xlfn.PERCENTILE.INC($C$2:$C$288,0.8),5,C114&gt;=_xlfn.PERCENTILE.INC($C$2:$C$288,0.6),4,C114&gt;=_xlfn.PERCENTILE.INC($C$2:$C$288,0.4),3,C114&gt;=_xlfn.PERCENTILE.INC($C$2:$C$288,0.2),2,TRUE,1)</f>
        <v>5</v>
      </c>
      <c r="G114" s="1" cm="1">
        <f t="array" ref="G114">_xlfn.IFS(D114&gt;=_xlfn.PERCENTILE.INC($D$2:$D$288,0.8),5,D114&gt;=_xlfn.PERCENTILE.INC($D$2:$D$288,0.6),4,D114&gt;=_xlfn.PERCENTILE.INC($D$2:$D$288,0.4),3,D114&gt;=_xlfn.PERCENTILE.INC($D$2:$D$288,0.2),2,TRUE,1)</f>
        <v>5</v>
      </c>
      <c r="H114" s="1">
        <f t="shared" si="1"/>
        <v>14</v>
      </c>
      <c r="I114" s="1" t="str" cm="1">
        <f t="array" ref="I114">_xlfn.IFS(H114&gt;=13,"Best Customers",H114&gt;=10,"Loyal Customers",H114&gt;=7,"Potential Loyal Customers",H114&gt;=4,"Need Attention",TRUE,"At Risk")</f>
        <v>Best Customers</v>
      </c>
    </row>
    <row r="115" spans="1:9">
      <c r="A115" s="1" t="s">
        <v>374</v>
      </c>
      <c r="B115" s="9">
        <v>23.590868055602201</v>
      </c>
      <c r="C115" s="1">
        <v>5</v>
      </c>
      <c r="D115" s="4">
        <v>88.56</v>
      </c>
      <c r="E115" s="1" cm="1">
        <f t="array" ref="E115">_xlfn.IFS(B115&lt;=_xlfn.PERCENTILE.INC($B$2:$B$288,0.2),5,B115&lt;=_xlfn.PERCENTILE.INC($B$2:$B$288,0.4),4,B115&lt;=_xlfn.PERCENTILE.INC($B$2:$B$288,0.6),3,B115&lt;=_xlfn.PERCENTILE.INC($B$2:$B$288,0.8),2,TRUE,1)</f>
        <v>5</v>
      </c>
      <c r="F115" s="1" cm="1">
        <f t="array" ref="F115">_xlfn.IFS(C115&gt;=_xlfn.PERCENTILE.INC($C$2:$C$288,0.8),5,C115&gt;=_xlfn.PERCENTILE.INC($C$2:$C$288,0.6),4,C115&gt;=_xlfn.PERCENTILE.INC($C$2:$C$288,0.4),3,C115&gt;=_xlfn.PERCENTILE.INC($C$2:$C$288,0.2),2,TRUE,1)</f>
        <v>5</v>
      </c>
      <c r="G115" s="1" cm="1">
        <f t="array" ref="G115">_xlfn.IFS(D115&gt;=_xlfn.PERCENTILE.INC($D$2:$D$288,0.8),5,D115&gt;=_xlfn.PERCENTILE.INC($D$2:$D$288,0.6),4,D115&gt;=_xlfn.PERCENTILE.INC($D$2:$D$288,0.4),3,D115&gt;=_xlfn.PERCENTILE.INC($D$2:$D$288,0.2),2,TRUE,1)</f>
        <v>4</v>
      </c>
      <c r="H115" s="1">
        <f t="shared" si="1"/>
        <v>14</v>
      </c>
      <c r="I115" s="1" t="str" cm="1">
        <f t="array" ref="I115">_xlfn.IFS(H115&gt;=13,"Best Customers",H115&gt;=10,"Loyal Customers",H115&gt;=7,"Potential Loyal Customers",H115&gt;=4,"Need Attention",TRUE,"At Risk")</f>
        <v>Best Customers</v>
      </c>
    </row>
    <row r="116" spans="1:9">
      <c r="A116" s="1" t="s">
        <v>1089</v>
      </c>
      <c r="B116" s="9">
        <v>116.590868055602</v>
      </c>
      <c r="C116" s="1">
        <v>2</v>
      </c>
      <c r="D116" s="4">
        <v>44.73</v>
      </c>
      <c r="E116" s="1" cm="1">
        <f t="array" ref="E116">_xlfn.IFS(B116&lt;=_xlfn.PERCENTILE.INC($B$2:$B$288,0.2),5,B116&lt;=_xlfn.PERCENTILE.INC($B$2:$B$288,0.4),4,B116&lt;=_xlfn.PERCENTILE.INC($B$2:$B$288,0.6),3,B116&lt;=_xlfn.PERCENTILE.INC($B$2:$B$288,0.8),2,TRUE,1)</f>
        <v>2</v>
      </c>
      <c r="F116" s="1" cm="1">
        <f t="array" ref="F116">_xlfn.IFS(C116&gt;=_xlfn.PERCENTILE.INC($C$2:$C$288,0.8),5,C116&gt;=_xlfn.PERCENTILE.INC($C$2:$C$288,0.6),4,C116&gt;=_xlfn.PERCENTILE.INC($C$2:$C$288,0.4),3,C116&gt;=_xlfn.PERCENTILE.INC($C$2:$C$288,0.2),2,TRUE,1)</f>
        <v>2</v>
      </c>
      <c r="G116" s="1" cm="1">
        <f t="array" ref="G116">_xlfn.IFS(D116&gt;=_xlfn.PERCENTILE.INC($D$2:$D$288,0.8),5,D116&gt;=_xlfn.PERCENTILE.INC($D$2:$D$288,0.6),4,D116&gt;=_xlfn.PERCENTILE.INC($D$2:$D$288,0.4),3,D116&gt;=_xlfn.PERCENTILE.INC($D$2:$D$288,0.2),2,TRUE,1)</f>
        <v>2</v>
      </c>
      <c r="H116" s="1">
        <f t="shared" si="1"/>
        <v>6</v>
      </c>
      <c r="I116" s="1" t="str" cm="1">
        <f t="array" ref="I116">_xlfn.IFS(H116&gt;=13,"Best Customers",H116&gt;=10,"Loyal Customers",H116&gt;=7,"Potential Loyal Customers",H116&gt;=4,"Need Attention",TRUE,"At Risk")</f>
        <v>Need Attention</v>
      </c>
    </row>
    <row r="117" spans="1:9">
      <c r="A117" s="1" t="s">
        <v>493</v>
      </c>
      <c r="B117" s="9">
        <v>55.590868055602201</v>
      </c>
      <c r="C117" s="1">
        <v>3</v>
      </c>
      <c r="D117" s="4">
        <v>45.87</v>
      </c>
      <c r="E117" s="1" cm="1">
        <f t="array" ref="E117">_xlfn.IFS(B117&lt;=_xlfn.PERCENTILE.INC($B$2:$B$288,0.2),5,B117&lt;=_xlfn.PERCENTILE.INC($B$2:$B$288,0.4),4,B117&lt;=_xlfn.PERCENTILE.INC($B$2:$B$288,0.6),3,B117&lt;=_xlfn.PERCENTILE.INC($B$2:$B$288,0.8),2,TRUE,1)</f>
        <v>3</v>
      </c>
      <c r="F117" s="1" cm="1">
        <f t="array" ref="F117">_xlfn.IFS(C117&gt;=_xlfn.PERCENTILE.INC($C$2:$C$288,0.8),5,C117&gt;=_xlfn.PERCENTILE.INC($C$2:$C$288,0.6),4,C117&gt;=_xlfn.PERCENTILE.INC($C$2:$C$288,0.4),3,C117&gt;=_xlfn.PERCENTILE.INC($C$2:$C$288,0.2),2,TRUE,1)</f>
        <v>3</v>
      </c>
      <c r="G117" s="1" cm="1">
        <f t="array" ref="G117">_xlfn.IFS(D117&gt;=_xlfn.PERCENTILE.INC($D$2:$D$288,0.8),5,D117&gt;=_xlfn.PERCENTILE.INC($D$2:$D$288,0.6),4,D117&gt;=_xlfn.PERCENTILE.INC($D$2:$D$288,0.4),3,D117&gt;=_xlfn.PERCENTILE.INC($D$2:$D$288,0.2),2,TRUE,1)</f>
        <v>2</v>
      </c>
      <c r="H117" s="1">
        <f t="shared" si="1"/>
        <v>8</v>
      </c>
      <c r="I117" s="1" t="str" cm="1">
        <f t="array" ref="I117">_xlfn.IFS(H117&gt;=13,"Best Customers",H117&gt;=10,"Loyal Customers",H117&gt;=7,"Potential Loyal Customers",H117&gt;=4,"Need Attention",TRUE,"At Risk")</f>
        <v>Potential Loyal Customers</v>
      </c>
    </row>
    <row r="118" spans="1:9">
      <c r="A118" s="1" t="s">
        <v>151</v>
      </c>
      <c r="B118" s="9">
        <v>61.590868055602201</v>
      </c>
      <c r="C118" s="1">
        <v>3</v>
      </c>
      <c r="D118" s="4">
        <v>59.82</v>
      </c>
      <c r="E118" s="1" cm="1">
        <f t="array" ref="E118">_xlfn.IFS(B118&lt;=_xlfn.PERCENTILE.INC($B$2:$B$288,0.2),5,B118&lt;=_xlfn.PERCENTILE.INC($B$2:$B$288,0.4),4,B118&lt;=_xlfn.PERCENTILE.INC($B$2:$B$288,0.6),3,B118&lt;=_xlfn.PERCENTILE.INC($B$2:$B$288,0.8),2,TRUE,1)</f>
        <v>3</v>
      </c>
      <c r="F118" s="1" cm="1">
        <f t="array" ref="F118">_xlfn.IFS(C118&gt;=_xlfn.PERCENTILE.INC($C$2:$C$288,0.8),5,C118&gt;=_xlfn.PERCENTILE.INC($C$2:$C$288,0.6),4,C118&gt;=_xlfn.PERCENTILE.INC($C$2:$C$288,0.4),3,C118&gt;=_xlfn.PERCENTILE.INC($C$2:$C$288,0.2),2,TRUE,1)</f>
        <v>3</v>
      </c>
      <c r="G118" s="1" cm="1">
        <f t="array" ref="G118">_xlfn.IFS(D118&gt;=_xlfn.PERCENTILE.INC($D$2:$D$288,0.8),5,D118&gt;=_xlfn.PERCENTILE.INC($D$2:$D$288,0.6),4,D118&gt;=_xlfn.PERCENTILE.INC($D$2:$D$288,0.4),3,D118&gt;=_xlfn.PERCENTILE.INC($D$2:$D$288,0.2),2,TRUE,1)</f>
        <v>3</v>
      </c>
      <c r="H118" s="1">
        <f t="shared" si="1"/>
        <v>9</v>
      </c>
      <c r="I118" s="1" t="str" cm="1">
        <f t="array" ref="I118">_xlfn.IFS(H118&gt;=13,"Best Customers",H118&gt;=10,"Loyal Customers",H118&gt;=7,"Potential Loyal Customers",H118&gt;=4,"Need Attention",TRUE,"At Risk")</f>
        <v>Potential Loyal Customers</v>
      </c>
    </row>
    <row r="119" spans="1:9">
      <c r="A119" s="1" t="s">
        <v>736</v>
      </c>
      <c r="B119" s="9">
        <v>185.59086805560199</v>
      </c>
      <c r="C119" s="1">
        <v>2</v>
      </c>
      <c r="D119" s="4">
        <v>27.5</v>
      </c>
      <c r="E119" s="1" cm="1">
        <f t="array" ref="E119">_xlfn.IFS(B119&lt;=_xlfn.PERCENTILE.INC($B$2:$B$288,0.2),5,B119&lt;=_xlfn.PERCENTILE.INC($B$2:$B$288,0.4),4,B119&lt;=_xlfn.PERCENTILE.INC($B$2:$B$288,0.6),3,B119&lt;=_xlfn.PERCENTILE.INC($B$2:$B$288,0.8),2,TRUE,1)</f>
        <v>1</v>
      </c>
      <c r="F119" s="1" cm="1">
        <f t="array" ref="F119">_xlfn.IFS(C119&gt;=_xlfn.PERCENTILE.INC($C$2:$C$288,0.8),5,C119&gt;=_xlfn.PERCENTILE.INC($C$2:$C$288,0.6),4,C119&gt;=_xlfn.PERCENTILE.INC($C$2:$C$288,0.4),3,C119&gt;=_xlfn.PERCENTILE.INC($C$2:$C$288,0.2),2,TRUE,1)</f>
        <v>2</v>
      </c>
      <c r="G119" s="1" cm="1">
        <f t="array" ref="G119">_xlfn.IFS(D119&gt;=_xlfn.PERCENTILE.INC($D$2:$D$288,0.8),5,D119&gt;=_xlfn.PERCENTILE.INC($D$2:$D$288,0.6),4,D119&gt;=_xlfn.PERCENTILE.INC($D$2:$D$288,0.4),3,D119&gt;=_xlfn.PERCENTILE.INC($D$2:$D$288,0.2),2,TRUE,1)</f>
        <v>2</v>
      </c>
      <c r="H119" s="1">
        <f t="shared" si="1"/>
        <v>5</v>
      </c>
      <c r="I119" s="1" t="str" cm="1">
        <f t="array" ref="I119">_xlfn.IFS(H119&gt;=13,"Best Customers",H119&gt;=10,"Loyal Customers",H119&gt;=7,"Potential Loyal Customers",H119&gt;=4,"Need Attention",TRUE,"At Risk")</f>
        <v>Need Attention</v>
      </c>
    </row>
    <row r="120" spans="1:9">
      <c r="A120" s="1" t="s">
        <v>102</v>
      </c>
      <c r="B120" s="9">
        <v>198.59086805560199</v>
      </c>
      <c r="C120" s="1">
        <v>3</v>
      </c>
      <c r="D120" s="4">
        <v>41.38</v>
      </c>
      <c r="E120" s="1" cm="1">
        <f t="array" ref="E120">_xlfn.IFS(B120&lt;=_xlfn.PERCENTILE.INC($B$2:$B$288,0.2),5,B120&lt;=_xlfn.PERCENTILE.INC($B$2:$B$288,0.4),4,B120&lt;=_xlfn.PERCENTILE.INC($B$2:$B$288,0.6),3,B120&lt;=_xlfn.PERCENTILE.INC($B$2:$B$288,0.8),2,TRUE,1)</f>
        <v>1</v>
      </c>
      <c r="F120" s="1" cm="1">
        <f t="array" ref="F120">_xlfn.IFS(C120&gt;=_xlfn.PERCENTILE.INC($C$2:$C$288,0.8),5,C120&gt;=_xlfn.PERCENTILE.INC($C$2:$C$288,0.6),4,C120&gt;=_xlfn.PERCENTILE.INC($C$2:$C$288,0.4),3,C120&gt;=_xlfn.PERCENTILE.INC($C$2:$C$288,0.2),2,TRUE,1)</f>
        <v>3</v>
      </c>
      <c r="G120" s="1" cm="1">
        <f t="array" ref="G120">_xlfn.IFS(D120&gt;=_xlfn.PERCENTILE.INC($D$2:$D$288,0.8),5,D120&gt;=_xlfn.PERCENTILE.INC($D$2:$D$288,0.6),4,D120&gt;=_xlfn.PERCENTILE.INC($D$2:$D$288,0.4),3,D120&gt;=_xlfn.PERCENTILE.INC($D$2:$D$288,0.2),2,TRUE,1)</f>
        <v>2</v>
      </c>
      <c r="H120" s="1">
        <f t="shared" si="1"/>
        <v>6</v>
      </c>
      <c r="I120" s="1" t="str" cm="1">
        <f t="array" ref="I120">_xlfn.IFS(H120&gt;=13,"Best Customers",H120&gt;=10,"Loyal Customers",H120&gt;=7,"Potential Loyal Customers",H120&gt;=4,"Need Attention",TRUE,"At Risk")</f>
        <v>Need Attention</v>
      </c>
    </row>
    <row r="121" spans="1:9">
      <c r="A121" s="1" t="s">
        <v>1122</v>
      </c>
      <c r="B121" s="9">
        <v>181.59086805560199</v>
      </c>
      <c r="C121" s="1">
        <v>2</v>
      </c>
      <c r="D121" s="4">
        <v>20.420000000000002</v>
      </c>
      <c r="E121" s="1" cm="1">
        <f t="array" ref="E121">_xlfn.IFS(B121&lt;=_xlfn.PERCENTILE.INC($B$2:$B$288,0.2),5,B121&lt;=_xlfn.PERCENTILE.INC($B$2:$B$288,0.4),4,B121&lt;=_xlfn.PERCENTILE.INC($B$2:$B$288,0.6),3,B121&lt;=_xlfn.PERCENTILE.INC($B$2:$B$288,0.8),2,TRUE,1)</f>
        <v>1</v>
      </c>
      <c r="F121" s="1" cm="1">
        <f t="array" ref="F121">_xlfn.IFS(C121&gt;=_xlfn.PERCENTILE.INC($C$2:$C$288,0.8),5,C121&gt;=_xlfn.PERCENTILE.INC($C$2:$C$288,0.6),4,C121&gt;=_xlfn.PERCENTILE.INC($C$2:$C$288,0.4),3,C121&gt;=_xlfn.PERCENTILE.INC($C$2:$C$288,0.2),2,TRUE,1)</f>
        <v>2</v>
      </c>
      <c r="G121" s="1" cm="1">
        <f t="array" ref="G121">_xlfn.IFS(D121&gt;=_xlfn.PERCENTILE.INC($D$2:$D$288,0.8),5,D121&gt;=_xlfn.PERCENTILE.INC($D$2:$D$288,0.6),4,D121&gt;=_xlfn.PERCENTILE.INC($D$2:$D$288,0.4),3,D121&gt;=_xlfn.PERCENTILE.INC($D$2:$D$288,0.2),2,TRUE,1)</f>
        <v>1</v>
      </c>
      <c r="H121" s="1">
        <f t="shared" si="1"/>
        <v>4</v>
      </c>
      <c r="I121" s="1" t="str" cm="1">
        <f t="array" ref="I121">_xlfn.IFS(H121&gt;=13,"Best Customers",H121&gt;=10,"Loyal Customers",H121&gt;=7,"Potential Loyal Customers",H121&gt;=4,"Need Attention",TRUE,"At Risk")</f>
        <v>Need Attention</v>
      </c>
    </row>
    <row r="122" spans="1:9">
      <c r="A122" s="1" t="s">
        <v>215</v>
      </c>
      <c r="B122" s="9">
        <v>137.59086805560199</v>
      </c>
      <c r="C122" s="1">
        <v>2</v>
      </c>
      <c r="D122" s="4">
        <v>23.58</v>
      </c>
      <c r="E122" s="1" cm="1">
        <f t="array" ref="E122">_xlfn.IFS(B122&lt;=_xlfn.PERCENTILE.INC($B$2:$B$288,0.2),5,B122&lt;=_xlfn.PERCENTILE.INC($B$2:$B$288,0.4),4,B122&lt;=_xlfn.PERCENTILE.INC($B$2:$B$288,0.6),3,B122&lt;=_xlfn.PERCENTILE.INC($B$2:$B$288,0.8),2,TRUE,1)</f>
        <v>2</v>
      </c>
      <c r="F122" s="1" cm="1">
        <f t="array" ref="F122">_xlfn.IFS(C122&gt;=_xlfn.PERCENTILE.INC($C$2:$C$288,0.8),5,C122&gt;=_xlfn.PERCENTILE.INC($C$2:$C$288,0.6),4,C122&gt;=_xlfn.PERCENTILE.INC($C$2:$C$288,0.4),3,C122&gt;=_xlfn.PERCENTILE.INC($C$2:$C$288,0.2),2,TRUE,1)</f>
        <v>2</v>
      </c>
      <c r="G122" s="1" cm="1">
        <f t="array" ref="G122">_xlfn.IFS(D122&gt;=_xlfn.PERCENTILE.INC($D$2:$D$288,0.8),5,D122&gt;=_xlfn.PERCENTILE.INC($D$2:$D$288,0.6),4,D122&gt;=_xlfn.PERCENTILE.INC($D$2:$D$288,0.4),3,D122&gt;=_xlfn.PERCENTILE.INC($D$2:$D$288,0.2),2,TRUE,1)</f>
        <v>1</v>
      </c>
      <c r="H122" s="1">
        <f t="shared" si="1"/>
        <v>5</v>
      </c>
      <c r="I122" s="1" t="str" cm="1">
        <f t="array" ref="I122">_xlfn.IFS(H122&gt;=13,"Best Customers",H122&gt;=10,"Loyal Customers",H122&gt;=7,"Potential Loyal Customers",H122&gt;=4,"Need Attention",TRUE,"At Risk")</f>
        <v>Need Attention</v>
      </c>
    </row>
    <row r="123" spans="1:9">
      <c r="A123" s="1" t="s">
        <v>266</v>
      </c>
      <c r="B123" s="9">
        <v>27.590868055602201</v>
      </c>
      <c r="C123" s="1">
        <v>3</v>
      </c>
      <c r="D123" s="4">
        <v>53.66</v>
      </c>
      <c r="E123" s="1" cm="1">
        <f t="array" ref="E123">_xlfn.IFS(B123&lt;=_xlfn.PERCENTILE.INC($B$2:$B$288,0.2),5,B123&lt;=_xlfn.PERCENTILE.INC($B$2:$B$288,0.4),4,B123&lt;=_xlfn.PERCENTILE.INC($B$2:$B$288,0.6),3,B123&lt;=_xlfn.PERCENTILE.INC($B$2:$B$288,0.8),2,TRUE,1)</f>
        <v>4</v>
      </c>
      <c r="F123" s="1" cm="1">
        <f t="array" ref="F123">_xlfn.IFS(C123&gt;=_xlfn.PERCENTILE.INC($C$2:$C$288,0.8),5,C123&gt;=_xlfn.PERCENTILE.INC($C$2:$C$288,0.6),4,C123&gt;=_xlfn.PERCENTILE.INC($C$2:$C$288,0.4),3,C123&gt;=_xlfn.PERCENTILE.INC($C$2:$C$288,0.2),2,TRUE,1)</f>
        <v>3</v>
      </c>
      <c r="G123" s="1" cm="1">
        <f t="array" ref="G123">_xlfn.IFS(D123&gt;=_xlfn.PERCENTILE.INC($D$2:$D$288,0.8),5,D123&gt;=_xlfn.PERCENTILE.INC($D$2:$D$288,0.6),4,D123&gt;=_xlfn.PERCENTILE.INC($D$2:$D$288,0.4),3,D123&gt;=_xlfn.PERCENTILE.INC($D$2:$D$288,0.2),2,TRUE,1)</f>
        <v>3</v>
      </c>
      <c r="H123" s="1">
        <f t="shared" si="1"/>
        <v>10</v>
      </c>
      <c r="I123" s="1" t="str" cm="1">
        <f t="array" ref="I123">_xlfn.IFS(H123&gt;=13,"Best Customers",H123&gt;=10,"Loyal Customers",H123&gt;=7,"Potential Loyal Customers",H123&gt;=4,"Need Attention",TRUE,"At Risk")</f>
        <v>Loyal Customers</v>
      </c>
    </row>
    <row r="124" spans="1:9">
      <c r="A124" s="1" t="s">
        <v>542</v>
      </c>
      <c r="B124" s="9">
        <v>145.59086805560199</v>
      </c>
      <c r="C124" s="1">
        <v>3</v>
      </c>
      <c r="D124" s="4">
        <v>46.1</v>
      </c>
      <c r="E124" s="1" cm="1">
        <f t="array" ref="E124">_xlfn.IFS(B124&lt;=_xlfn.PERCENTILE.INC($B$2:$B$288,0.2),5,B124&lt;=_xlfn.PERCENTILE.INC($B$2:$B$288,0.4),4,B124&lt;=_xlfn.PERCENTILE.INC($B$2:$B$288,0.6),3,B124&lt;=_xlfn.PERCENTILE.INC($B$2:$B$288,0.8),2,TRUE,1)</f>
        <v>2</v>
      </c>
      <c r="F124" s="1" cm="1">
        <f t="array" ref="F124">_xlfn.IFS(C124&gt;=_xlfn.PERCENTILE.INC($C$2:$C$288,0.8),5,C124&gt;=_xlfn.PERCENTILE.INC($C$2:$C$288,0.6),4,C124&gt;=_xlfn.PERCENTILE.INC($C$2:$C$288,0.4),3,C124&gt;=_xlfn.PERCENTILE.INC($C$2:$C$288,0.2),2,TRUE,1)</f>
        <v>3</v>
      </c>
      <c r="G124" s="1" cm="1">
        <f t="array" ref="G124">_xlfn.IFS(D124&gt;=_xlfn.PERCENTILE.INC($D$2:$D$288,0.8),5,D124&gt;=_xlfn.PERCENTILE.INC($D$2:$D$288,0.6),4,D124&gt;=_xlfn.PERCENTILE.INC($D$2:$D$288,0.4),3,D124&gt;=_xlfn.PERCENTILE.INC($D$2:$D$288,0.2),2,TRUE,1)</f>
        <v>2</v>
      </c>
      <c r="H124" s="1">
        <f t="shared" si="1"/>
        <v>7</v>
      </c>
      <c r="I124" s="1" t="str" cm="1">
        <f t="array" ref="I124">_xlfn.IFS(H124&gt;=13,"Best Customers",H124&gt;=10,"Loyal Customers",H124&gt;=7,"Potential Loyal Customers",H124&gt;=4,"Need Attention",TRUE,"At Risk")</f>
        <v>Potential Loyal Customers</v>
      </c>
    </row>
    <row r="125" spans="1:9">
      <c r="A125" s="1" t="s">
        <v>28</v>
      </c>
      <c r="B125" s="9">
        <v>150.59086805560199</v>
      </c>
      <c r="C125" s="1">
        <v>6</v>
      </c>
      <c r="D125" s="4">
        <v>70.78</v>
      </c>
      <c r="E125" s="1" cm="1">
        <f t="array" ref="E125">_xlfn.IFS(B125&lt;=_xlfn.PERCENTILE.INC($B$2:$B$288,0.2),5,B125&lt;=_xlfn.PERCENTILE.INC($B$2:$B$288,0.4),4,B125&lt;=_xlfn.PERCENTILE.INC($B$2:$B$288,0.6),3,B125&lt;=_xlfn.PERCENTILE.INC($B$2:$B$288,0.8),2,TRUE,1)</f>
        <v>2</v>
      </c>
      <c r="F125" s="1" cm="1">
        <f t="array" ref="F125">_xlfn.IFS(C125&gt;=_xlfn.PERCENTILE.INC($C$2:$C$288,0.8),5,C125&gt;=_xlfn.PERCENTILE.INC($C$2:$C$288,0.6),4,C125&gt;=_xlfn.PERCENTILE.INC($C$2:$C$288,0.4),3,C125&gt;=_xlfn.PERCENTILE.INC($C$2:$C$288,0.2),2,TRUE,1)</f>
        <v>5</v>
      </c>
      <c r="G125" s="1" cm="1">
        <f t="array" ref="G125">_xlfn.IFS(D125&gt;=_xlfn.PERCENTILE.INC($D$2:$D$288,0.8),5,D125&gt;=_xlfn.PERCENTILE.INC($D$2:$D$288,0.6),4,D125&gt;=_xlfn.PERCENTILE.INC($D$2:$D$288,0.4),3,D125&gt;=_xlfn.PERCENTILE.INC($D$2:$D$288,0.2),2,TRUE,1)</f>
        <v>4</v>
      </c>
      <c r="H125" s="1">
        <f t="shared" si="1"/>
        <v>11</v>
      </c>
      <c r="I125" s="1" t="str" cm="1">
        <f t="array" ref="I125">_xlfn.IFS(H125&gt;=13,"Best Customers",H125&gt;=10,"Loyal Customers",H125&gt;=7,"Potential Loyal Customers",H125&gt;=4,"Need Attention",TRUE,"At Risk")</f>
        <v>Loyal Customers</v>
      </c>
    </row>
    <row r="126" spans="1:9">
      <c r="A126" s="1" t="s">
        <v>337</v>
      </c>
      <c r="B126" s="9">
        <v>11.590868055602201</v>
      </c>
      <c r="C126" s="1">
        <v>5</v>
      </c>
      <c r="D126" s="4">
        <v>131.69</v>
      </c>
      <c r="E126" s="1" cm="1">
        <f t="array" ref="E126">_xlfn.IFS(B126&lt;=_xlfn.PERCENTILE.INC($B$2:$B$288,0.2),5,B126&lt;=_xlfn.PERCENTILE.INC($B$2:$B$288,0.4),4,B126&lt;=_xlfn.PERCENTILE.INC($B$2:$B$288,0.6),3,B126&lt;=_xlfn.PERCENTILE.INC($B$2:$B$288,0.8),2,TRUE,1)</f>
        <v>5</v>
      </c>
      <c r="F126" s="1" cm="1">
        <f t="array" ref="F126">_xlfn.IFS(C126&gt;=_xlfn.PERCENTILE.INC($C$2:$C$288,0.8),5,C126&gt;=_xlfn.PERCENTILE.INC($C$2:$C$288,0.6),4,C126&gt;=_xlfn.PERCENTILE.INC($C$2:$C$288,0.4),3,C126&gt;=_xlfn.PERCENTILE.INC($C$2:$C$288,0.2),2,TRUE,1)</f>
        <v>5</v>
      </c>
      <c r="G126" s="1" cm="1">
        <f t="array" ref="G126">_xlfn.IFS(D126&gt;=_xlfn.PERCENTILE.INC($D$2:$D$288,0.8),5,D126&gt;=_xlfn.PERCENTILE.INC($D$2:$D$288,0.6),4,D126&gt;=_xlfn.PERCENTILE.INC($D$2:$D$288,0.4),3,D126&gt;=_xlfn.PERCENTILE.INC($D$2:$D$288,0.2),2,TRUE,1)</f>
        <v>5</v>
      </c>
      <c r="H126" s="1">
        <f t="shared" si="1"/>
        <v>15</v>
      </c>
      <c r="I126" s="1" t="str" cm="1">
        <f t="array" ref="I126">_xlfn.IFS(H126&gt;=13,"Best Customers",H126&gt;=10,"Loyal Customers",H126&gt;=7,"Potential Loyal Customers",H126&gt;=4,"Need Attention",TRUE,"At Risk")</f>
        <v>Best Customers</v>
      </c>
    </row>
    <row r="127" spans="1:9">
      <c r="A127" s="1" t="s">
        <v>82</v>
      </c>
      <c r="B127" s="9">
        <v>76.590868055602201</v>
      </c>
      <c r="C127" s="1">
        <v>4</v>
      </c>
      <c r="D127" s="4">
        <v>65.010000000000005</v>
      </c>
      <c r="E127" s="1" cm="1">
        <f t="array" ref="E127">_xlfn.IFS(B127&lt;=_xlfn.PERCENTILE.INC($B$2:$B$288,0.2),5,B127&lt;=_xlfn.PERCENTILE.INC($B$2:$B$288,0.4),4,B127&lt;=_xlfn.PERCENTILE.INC($B$2:$B$288,0.6),3,B127&lt;=_xlfn.PERCENTILE.INC($B$2:$B$288,0.8),2,TRUE,1)</f>
        <v>3</v>
      </c>
      <c r="F127" s="1" cm="1">
        <f t="array" ref="F127">_xlfn.IFS(C127&gt;=_xlfn.PERCENTILE.INC($C$2:$C$288,0.8),5,C127&gt;=_xlfn.PERCENTILE.INC($C$2:$C$288,0.6),4,C127&gt;=_xlfn.PERCENTILE.INC($C$2:$C$288,0.4),3,C127&gt;=_xlfn.PERCENTILE.INC($C$2:$C$288,0.2),2,TRUE,1)</f>
        <v>4</v>
      </c>
      <c r="G127" s="1" cm="1">
        <f t="array" ref="G127">_xlfn.IFS(D127&gt;=_xlfn.PERCENTILE.INC($D$2:$D$288,0.8),5,D127&gt;=_xlfn.PERCENTILE.INC($D$2:$D$288,0.6),4,D127&gt;=_xlfn.PERCENTILE.INC($D$2:$D$288,0.4),3,D127&gt;=_xlfn.PERCENTILE.INC($D$2:$D$288,0.2),2,TRUE,1)</f>
        <v>4</v>
      </c>
      <c r="H127" s="1">
        <f t="shared" si="1"/>
        <v>11</v>
      </c>
      <c r="I127" s="1" t="str" cm="1">
        <f t="array" ref="I127">_xlfn.IFS(H127&gt;=13,"Best Customers",H127&gt;=10,"Loyal Customers",H127&gt;=7,"Potential Loyal Customers",H127&gt;=4,"Need Attention",TRUE,"At Risk")</f>
        <v>Loyal Customers</v>
      </c>
    </row>
    <row r="128" spans="1:9">
      <c r="A128" s="1" t="s">
        <v>211</v>
      </c>
      <c r="B128" s="9">
        <v>37.590868055602201</v>
      </c>
      <c r="C128" s="1">
        <v>4</v>
      </c>
      <c r="D128" s="4">
        <v>57.97</v>
      </c>
      <c r="E128" s="1" cm="1">
        <f t="array" ref="E128">_xlfn.IFS(B128&lt;=_xlfn.PERCENTILE.INC($B$2:$B$288,0.2),5,B128&lt;=_xlfn.PERCENTILE.INC($B$2:$B$288,0.4),4,B128&lt;=_xlfn.PERCENTILE.INC($B$2:$B$288,0.6),3,B128&lt;=_xlfn.PERCENTILE.INC($B$2:$B$288,0.8),2,TRUE,1)</f>
        <v>4</v>
      </c>
      <c r="F128" s="1" cm="1">
        <f t="array" ref="F128">_xlfn.IFS(C128&gt;=_xlfn.PERCENTILE.INC($C$2:$C$288,0.8),5,C128&gt;=_xlfn.PERCENTILE.INC($C$2:$C$288,0.6),4,C128&gt;=_xlfn.PERCENTILE.INC($C$2:$C$288,0.4),3,C128&gt;=_xlfn.PERCENTILE.INC($C$2:$C$288,0.2),2,TRUE,1)</f>
        <v>4</v>
      </c>
      <c r="G128" s="1" cm="1">
        <f t="array" ref="G128">_xlfn.IFS(D128&gt;=_xlfn.PERCENTILE.INC($D$2:$D$288,0.8),5,D128&gt;=_xlfn.PERCENTILE.INC($D$2:$D$288,0.6),4,D128&gt;=_xlfn.PERCENTILE.INC($D$2:$D$288,0.4),3,D128&gt;=_xlfn.PERCENTILE.INC($D$2:$D$288,0.2),2,TRUE,1)</f>
        <v>3</v>
      </c>
      <c r="H128" s="1">
        <f t="shared" si="1"/>
        <v>11</v>
      </c>
      <c r="I128" s="1" t="str" cm="1">
        <f t="array" ref="I128">_xlfn.IFS(H128&gt;=13,"Best Customers",H128&gt;=10,"Loyal Customers",H128&gt;=7,"Potential Loyal Customers",H128&gt;=4,"Need Attention",TRUE,"At Risk")</f>
        <v>Loyal Customers</v>
      </c>
    </row>
    <row r="129" spans="1:9">
      <c r="A129" s="1" t="s">
        <v>122</v>
      </c>
      <c r="B129" s="9">
        <v>101.590868055602</v>
      </c>
      <c r="C129" s="1">
        <v>4</v>
      </c>
      <c r="D129" s="4">
        <v>53.77</v>
      </c>
      <c r="E129" s="1" cm="1">
        <f t="array" ref="E129">_xlfn.IFS(B129&lt;=_xlfn.PERCENTILE.INC($B$2:$B$288,0.2),5,B129&lt;=_xlfn.PERCENTILE.INC($B$2:$B$288,0.4),4,B129&lt;=_xlfn.PERCENTILE.INC($B$2:$B$288,0.6),3,B129&lt;=_xlfn.PERCENTILE.INC($B$2:$B$288,0.8),2,TRUE,1)</f>
        <v>3</v>
      </c>
      <c r="F129" s="1" cm="1">
        <f t="array" ref="F129">_xlfn.IFS(C129&gt;=_xlfn.PERCENTILE.INC($C$2:$C$288,0.8),5,C129&gt;=_xlfn.PERCENTILE.INC($C$2:$C$288,0.6),4,C129&gt;=_xlfn.PERCENTILE.INC($C$2:$C$288,0.4),3,C129&gt;=_xlfn.PERCENTILE.INC($C$2:$C$288,0.2),2,TRUE,1)</f>
        <v>4</v>
      </c>
      <c r="G129" s="1" cm="1">
        <f t="array" ref="G129">_xlfn.IFS(D129&gt;=_xlfn.PERCENTILE.INC($D$2:$D$288,0.8),5,D129&gt;=_xlfn.PERCENTILE.INC($D$2:$D$288,0.6),4,D129&gt;=_xlfn.PERCENTILE.INC($D$2:$D$288,0.4),3,D129&gt;=_xlfn.PERCENTILE.INC($D$2:$D$288,0.2),2,TRUE,1)</f>
        <v>3</v>
      </c>
      <c r="H129" s="1">
        <f t="shared" si="1"/>
        <v>10</v>
      </c>
      <c r="I129" s="1" t="str" cm="1">
        <f t="array" ref="I129">_xlfn.IFS(H129&gt;=13,"Best Customers",H129&gt;=10,"Loyal Customers",H129&gt;=7,"Potential Loyal Customers",H129&gt;=4,"Need Attention",TRUE,"At Risk")</f>
        <v>Loyal Customers</v>
      </c>
    </row>
    <row r="130" spans="1:9">
      <c r="A130" s="1" t="s">
        <v>167</v>
      </c>
      <c r="B130" s="9">
        <v>27.590868055602201</v>
      </c>
      <c r="C130" s="1">
        <v>3</v>
      </c>
      <c r="D130" s="4">
        <v>52.02</v>
      </c>
      <c r="E130" s="1" cm="1">
        <f t="array" ref="E130">_xlfn.IFS(B130&lt;=_xlfn.PERCENTILE.INC($B$2:$B$288,0.2),5,B130&lt;=_xlfn.PERCENTILE.INC($B$2:$B$288,0.4),4,B130&lt;=_xlfn.PERCENTILE.INC($B$2:$B$288,0.6),3,B130&lt;=_xlfn.PERCENTILE.INC($B$2:$B$288,0.8),2,TRUE,1)</f>
        <v>4</v>
      </c>
      <c r="F130" s="1" cm="1">
        <f t="array" ref="F130">_xlfn.IFS(C130&gt;=_xlfn.PERCENTILE.INC($C$2:$C$288,0.8),5,C130&gt;=_xlfn.PERCENTILE.INC($C$2:$C$288,0.6),4,C130&gt;=_xlfn.PERCENTILE.INC($C$2:$C$288,0.4),3,C130&gt;=_xlfn.PERCENTILE.INC($C$2:$C$288,0.2),2,TRUE,1)</f>
        <v>3</v>
      </c>
      <c r="G130" s="1" cm="1">
        <f t="array" ref="G130">_xlfn.IFS(D130&gt;=_xlfn.PERCENTILE.INC($D$2:$D$288,0.8),5,D130&gt;=_xlfn.PERCENTILE.INC($D$2:$D$288,0.6),4,D130&gt;=_xlfn.PERCENTILE.INC($D$2:$D$288,0.4),3,D130&gt;=_xlfn.PERCENTILE.INC($D$2:$D$288,0.2),2,TRUE,1)</f>
        <v>3</v>
      </c>
      <c r="H130" s="1">
        <f t="shared" si="1"/>
        <v>10</v>
      </c>
      <c r="I130" s="1" t="str" cm="1">
        <f t="array" ref="I130">_xlfn.IFS(H130&gt;=13,"Best Customers",H130&gt;=10,"Loyal Customers",H130&gt;=7,"Potential Loyal Customers",H130&gt;=4,"Need Attention",TRUE,"At Risk")</f>
        <v>Loyal Customers</v>
      </c>
    </row>
    <row r="131" spans="1:9">
      <c r="A131" s="1" t="s">
        <v>49</v>
      </c>
      <c r="B131" s="9">
        <v>6.5908680556021899</v>
      </c>
      <c r="C131" s="1">
        <v>4</v>
      </c>
      <c r="D131" s="4">
        <v>34.4</v>
      </c>
      <c r="E131" s="1" cm="1">
        <f t="array" ref="E131">_xlfn.IFS(B131&lt;=_xlfn.PERCENTILE.INC($B$2:$B$288,0.2),5,B131&lt;=_xlfn.PERCENTILE.INC($B$2:$B$288,0.4),4,B131&lt;=_xlfn.PERCENTILE.INC($B$2:$B$288,0.6),3,B131&lt;=_xlfn.PERCENTILE.INC($B$2:$B$288,0.8),2,TRUE,1)</f>
        <v>5</v>
      </c>
      <c r="F131" s="1" cm="1">
        <f t="array" ref="F131">_xlfn.IFS(C131&gt;=_xlfn.PERCENTILE.INC($C$2:$C$288,0.8),5,C131&gt;=_xlfn.PERCENTILE.INC($C$2:$C$288,0.6),4,C131&gt;=_xlfn.PERCENTILE.INC($C$2:$C$288,0.4),3,C131&gt;=_xlfn.PERCENTILE.INC($C$2:$C$288,0.2),2,TRUE,1)</f>
        <v>4</v>
      </c>
      <c r="G131" s="1" cm="1">
        <f t="array" ref="G131">_xlfn.IFS(D131&gt;=_xlfn.PERCENTILE.INC($D$2:$D$288,0.8),5,D131&gt;=_xlfn.PERCENTILE.INC($D$2:$D$288,0.6),4,D131&gt;=_xlfn.PERCENTILE.INC($D$2:$D$288,0.4),3,D131&gt;=_xlfn.PERCENTILE.INC($D$2:$D$288,0.2),2,TRUE,1)</f>
        <v>2</v>
      </c>
      <c r="H131" s="1">
        <f t="shared" ref="H131:H194" si="2">E131+F131+G131</f>
        <v>11</v>
      </c>
      <c r="I131" s="1" t="str" cm="1">
        <f t="array" ref="I131">_xlfn.IFS(H131&gt;=13,"Best Customers",H131&gt;=10,"Loyal Customers",H131&gt;=7,"Potential Loyal Customers",H131&gt;=4,"Need Attention",TRUE,"At Risk")</f>
        <v>Loyal Customers</v>
      </c>
    </row>
    <row r="132" spans="1:9">
      <c r="A132" s="1" t="s">
        <v>20</v>
      </c>
      <c r="B132" s="9">
        <v>176.59086805560199</v>
      </c>
      <c r="C132" s="1">
        <v>1</v>
      </c>
      <c r="D132" s="4">
        <v>15.44</v>
      </c>
      <c r="E132" s="1" cm="1">
        <f t="array" ref="E132">_xlfn.IFS(B132&lt;=_xlfn.PERCENTILE.INC($B$2:$B$288,0.2),5,B132&lt;=_xlfn.PERCENTILE.INC($B$2:$B$288,0.4),4,B132&lt;=_xlfn.PERCENTILE.INC($B$2:$B$288,0.6),3,B132&lt;=_xlfn.PERCENTILE.INC($B$2:$B$288,0.8),2,TRUE,1)</f>
        <v>1</v>
      </c>
      <c r="F132" s="1" cm="1">
        <f t="array" ref="F132">_xlfn.IFS(C132&gt;=_xlfn.PERCENTILE.INC($C$2:$C$288,0.8),5,C132&gt;=_xlfn.PERCENTILE.INC($C$2:$C$288,0.6),4,C132&gt;=_xlfn.PERCENTILE.INC($C$2:$C$288,0.4),3,C132&gt;=_xlfn.PERCENTILE.INC($C$2:$C$288,0.2),2,TRUE,1)</f>
        <v>1</v>
      </c>
      <c r="G132" s="1" cm="1">
        <f t="array" ref="G132">_xlfn.IFS(D132&gt;=_xlfn.PERCENTILE.INC($D$2:$D$288,0.8),5,D132&gt;=_xlfn.PERCENTILE.INC($D$2:$D$288,0.6),4,D132&gt;=_xlfn.PERCENTILE.INC($D$2:$D$288,0.4),3,D132&gt;=_xlfn.PERCENTILE.INC($D$2:$D$288,0.2),2,TRUE,1)</f>
        <v>1</v>
      </c>
      <c r="H132" s="1">
        <f t="shared" si="2"/>
        <v>3</v>
      </c>
      <c r="I132" s="1" t="str" cm="1">
        <f t="array" ref="I132">_xlfn.IFS(H132&gt;=13,"Best Customers",H132&gt;=10,"Loyal Customers",H132&gt;=7,"Potential Loyal Customers",H132&gt;=4,"Need Attention",TRUE,"At Risk")</f>
        <v>At Risk</v>
      </c>
    </row>
    <row r="133" spans="1:9">
      <c r="A133" s="1" t="s">
        <v>665</v>
      </c>
      <c r="B133" s="9">
        <v>207.59086805560199</v>
      </c>
      <c r="C133" s="1">
        <v>1</v>
      </c>
      <c r="D133" s="4">
        <v>27.37</v>
      </c>
      <c r="E133" s="1" cm="1">
        <f t="array" ref="E133">_xlfn.IFS(B133&lt;=_xlfn.PERCENTILE.INC($B$2:$B$288,0.2),5,B133&lt;=_xlfn.PERCENTILE.INC($B$2:$B$288,0.4),4,B133&lt;=_xlfn.PERCENTILE.INC($B$2:$B$288,0.6),3,B133&lt;=_xlfn.PERCENTILE.INC($B$2:$B$288,0.8),2,TRUE,1)</f>
        <v>1</v>
      </c>
      <c r="F133" s="1" cm="1">
        <f t="array" ref="F133">_xlfn.IFS(C133&gt;=_xlfn.PERCENTILE.INC($C$2:$C$288,0.8),5,C133&gt;=_xlfn.PERCENTILE.INC($C$2:$C$288,0.6),4,C133&gt;=_xlfn.PERCENTILE.INC($C$2:$C$288,0.4),3,C133&gt;=_xlfn.PERCENTILE.INC($C$2:$C$288,0.2),2,TRUE,1)</f>
        <v>1</v>
      </c>
      <c r="G133" s="1" cm="1">
        <f t="array" ref="G133">_xlfn.IFS(D133&gt;=_xlfn.PERCENTILE.INC($D$2:$D$288,0.8),5,D133&gt;=_xlfn.PERCENTILE.INC($D$2:$D$288,0.6),4,D133&gt;=_xlfn.PERCENTILE.INC($D$2:$D$288,0.4),3,D133&gt;=_xlfn.PERCENTILE.INC($D$2:$D$288,0.2),2,TRUE,1)</f>
        <v>2</v>
      </c>
      <c r="H133" s="1">
        <f t="shared" si="2"/>
        <v>4</v>
      </c>
      <c r="I133" s="1" t="str" cm="1">
        <f t="array" ref="I133">_xlfn.IFS(H133&gt;=13,"Best Customers",H133&gt;=10,"Loyal Customers",H133&gt;=7,"Potential Loyal Customers",H133&gt;=4,"Need Attention",TRUE,"At Risk")</f>
        <v>Need Attention</v>
      </c>
    </row>
    <row r="134" spans="1:9">
      <c r="A134" s="1" t="s">
        <v>202</v>
      </c>
      <c r="B134" s="9">
        <v>34.590868055602201</v>
      </c>
      <c r="C134" s="1">
        <v>5</v>
      </c>
      <c r="D134" s="4">
        <v>35.08</v>
      </c>
      <c r="E134" s="1" cm="1">
        <f t="array" ref="E134">_xlfn.IFS(B134&lt;=_xlfn.PERCENTILE.INC($B$2:$B$288,0.2),5,B134&lt;=_xlfn.PERCENTILE.INC($B$2:$B$288,0.4),4,B134&lt;=_xlfn.PERCENTILE.INC($B$2:$B$288,0.6),3,B134&lt;=_xlfn.PERCENTILE.INC($B$2:$B$288,0.8),2,TRUE,1)</f>
        <v>4</v>
      </c>
      <c r="F134" s="1" cm="1">
        <f t="array" ref="F134">_xlfn.IFS(C134&gt;=_xlfn.PERCENTILE.INC($C$2:$C$288,0.8),5,C134&gt;=_xlfn.PERCENTILE.INC($C$2:$C$288,0.6),4,C134&gt;=_xlfn.PERCENTILE.INC($C$2:$C$288,0.4),3,C134&gt;=_xlfn.PERCENTILE.INC($C$2:$C$288,0.2),2,TRUE,1)</f>
        <v>5</v>
      </c>
      <c r="G134" s="1" cm="1">
        <f t="array" ref="G134">_xlfn.IFS(D134&gt;=_xlfn.PERCENTILE.INC($D$2:$D$288,0.8),5,D134&gt;=_xlfn.PERCENTILE.INC($D$2:$D$288,0.6),4,D134&gt;=_xlfn.PERCENTILE.INC($D$2:$D$288,0.4),3,D134&gt;=_xlfn.PERCENTILE.INC($D$2:$D$288,0.2),2,TRUE,1)</f>
        <v>2</v>
      </c>
      <c r="H134" s="1">
        <f t="shared" si="2"/>
        <v>11</v>
      </c>
      <c r="I134" s="1" t="str" cm="1">
        <f t="array" ref="I134">_xlfn.IFS(H134&gt;=13,"Best Customers",H134&gt;=10,"Loyal Customers",H134&gt;=7,"Potential Loyal Customers",H134&gt;=4,"Need Attention",TRUE,"At Risk")</f>
        <v>Loyal Customers</v>
      </c>
    </row>
    <row r="135" spans="1:9">
      <c r="A135" s="1" t="s">
        <v>657</v>
      </c>
      <c r="B135" s="9">
        <v>10.590868055602201</v>
      </c>
      <c r="C135" s="1">
        <v>2</v>
      </c>
      <c r="D135" s="4">
        <v>40.78</v>
      </c>
      <c r="E135" s="1" cm="1">
        <f t="array" ref="E135">_xlfn.IFS(B135&lt;=_xlfn.PERCENTILE.INC($B$2:$B$288,0.2),5,B135&lt;=_xlfn.PERCENTILE.INC($B$2:$B$288,0.4),4,B135&lt;=_xlfn.PERCENTILE.INC($B$2:$B$288,0.6),3,B135&lt;=_xlfn.PERCENTILE.INC($B$2:$B$288,0.8),2,TRUE,1)</f>
        <v>5</v>
      </c>
      <c r="F135" s="1" cm="1">
        <f t="array" ref="F135">_xlfn.IFS(C135&gt;=_xlfn.PERCENTILE.INC($C$2:$C$288,0.8),5,C135&gt;=_xlfn.PERCENTILE.INC($C$2:$C$288,0.6),4,C135&gt;=_xlfn.PERCENTILE.INC($C$2:$C$288,0.4),3,C135&gt;=_xlfn.PERCENTILE.INC($C$2:$C$288,0.2),2,TRUE,1)</f>
        <v>2</v>
      </c>
      <c r="G135" s="1" cm="1">
        <f t="array" ref="G135">_xlfn.IFS(D135&gt;=_xlfn.PERCENTILE.INC($D$2:$D$288,0.8),5,D135&gt;=_xlfn.PERCENTILE.INC($D$2:$D$288,0.6),4,D135&gt;=_xlfn.PERCENTILE.INC($D$2:$D$288,0.4),3,D135&gt;=_xlfn.PERCENTILE.INC($D$2:$D$288,0.2),2,TRUE,1)</f>
        <v>2</v>
      </c>
      <c r="H135" s="1">
        <f t="shared" si="2"/>
        <v>9</v>
      </c>
      <c r="I135" s="1" t="str" cm="1">
        <f t="array" ref="I135">_xlfn.IFS(H135&gt;=13,"Best Customers",H135&gt;=10,"Loyal Customers",H135&gt;=7,"Potential Loyal Customers",H135&gt;=4,"Need Attention",TRUE,"At Risk")</f>
        <v>Potential Loyal Customers</v>
      </c>
    </row>
    <row r="136" spans="1:9">
      <c r="A136" s="1" t="s">
        <v>108</v>
      </c>
      <c r="B136" s="9">
        <v>49.590868055602201</v>
      </c>
      <c r="C136" s="1">
        <v>6</v>
      </c>
      <c r="D136" s="4">
        <v>170.41</v>
      </c>
      <c r="E136" s="1" cm="1">
        <f t="array" ref="E136">_xlfn.IFS(B136&lt;=_xlfn.PERCENTILE.INC($B$2:$B$288,0.2),5,B136&lt;=_xlfn.PERCENTILE.INC($B$2:$B$288,0.4),4,B136&lt;=_xlfn.PERCENTILE.INC($B$2:$B$288,0.6),3,B136&lt;=_xlfn.PERCENTILE.INC($B$2:$B$288,0.8),2,TRUE,1)</f>
        <v>4</v>
      </c>
      <c r="F136" s="1" cm="1">
        <f t="array" ref="F136">_xlfn.IFS(C136&gt;=_xlfn.PERCENTILE.INC($C$2:$C$288,0.8),5,C136&gt;=_xlfn.PERCENTILE.INC($C$2:$C$288,0.6),4,C136&gt;=_xlfn.PERCENTILE.INC($C$2:$C$288,0.4),3,C136&gt;=_xlfn.PERCENTILE.INC($C$2:$C$288,0.2),2,TRUE,1)</f>
        <v>5</v>
      </c>
      <c r="G136" s="1" cm="1">
        <f t="array" ref="G136">_xlfn.IFS(D136&gt;=_xlfn.PERCENTILE.INC($D$2:$D$288,0.8),5,D136&gt;=_xlfn.PERCENTILE.INC($D$2:$D$288,0.6),4,D136&gt;=_xlfn.PERCENTILE.INC($D$2:$D$288,0.4),3,D136&gt;=_xlfn.PERCENTILE.INC($D$2:$D$288,0.2),2,TRUE,1)</f>
        <v>5</v>
      </c>
      <c r="H136" s="1">
        <f t="shared" si="2"/>
        <v>14</v>
      </c>
      <c r="I136" s="1" t="str" cm="1">
        <f t="array" ref="I136">_xlfn.IFS(H136&gt;=13,"Best Customers",H136&gt;=10,"Loyal Customers",H136&gt;=7,"Potential Loyal Customers",H136&gt;=4,"Need Attention",TRUE,"At Risk")</f>
        <v>Best Customers</v>
      </c>
    </row>
    <row r="137" spans="1:9">
      <c r="A137" s="1" t="s">
        <v>313</v>
      </c>
      <c r="B137" s="9">
        <v>83.590868055602201</v>
      </c>
      <c r="C137" s="1">
        <v>2</v>
      </c>
      <c r="D137" s="4">
        <v>16.04</v>
      </c>
      <c r="E137" s="1" cm="1">
        <f t="array" ref="E137">_xlfn.IFS(B137&lt;=_xlfn.PERCENTILE.INC($B$2:$B$288,0.2),5,B137&lt;=_xlfn.PERCENTILE.INC($B$2:$B$288,0.4),4,B137&lt;=_xlfn.PERCENTILE.INC($B$2:$B$288,0.6),3,B137&lt;=_xlfn.PERCENTILE.INC($B$2:$B$288,0.8),2,TRUE,1)</f>
        <v>3</v>
      </c>
      <c r="F137" s="1" cm="1">
        <f t="array" ref="F137">_xlfn.IFS(C137&gt;=_xlfn.PERCENTILE.INC($C$2:$C$288,0.8),5,C137&gt;=_xlfn.PERCENTILE.INC($C$2:$C$288,0.6),4,C137&gt;=_xlfn.PERCENTILE.INC($C$2:$C$288,0.4),3,C137&gt;=_xlfn.PERCENTILE.INC($C$2:$C$288,0.2),2,TRUE,1)</f>
        <v>2</v>
      </c>
      <c r="G137" s="1" cm="1">
        <f t="array" ref="G137">_xlfn.IFS(D137&gt;=_xlfn.PERCENTILE.INC($D$2:$D$288,0.8),5,D137&gt;=_xlfn.PERCENTILE.INC($D$2:$D$288,0.6),4,D137&gt;=_xlfn.PERCENTILE.INC($D$2:$D$288,0.4),3,D137&gt;=_xlfn.PERCENTILE.INC($D$2:$D$288,0.2),2,TRUE,1)</f>
        <v>1</v>
      </c>
      <c r="H137" s="1">
        <f t="shared" si="2"/>
        <v>6</v>
      </c>
      <c r="I137" s="1" t="str" cm="1">
        <f t="array" ref="I137">_xlfn.IFS(H137&gt;=13,"Best Customers",H137&gt;=10,"Loyal Customers",H137&gt;=7,"Potential Loyal Customers",H137&gt;=4,"Need Attention",TRUE,"At Risk")</f>
        <v>Need Attention</v>
      </c>
    </row>
    <row r="138" spans="1:9">
      <c r="A138" s="1" t="s">
        <v>112</v>
      </c>
      <c r="B138" s="9">
        <v>123.590868055602</v>
      </c>
      <c r="C138" s="1">
        <v>5</v>
      </c>
      <c r="D138" s="4">
        <v>85.98</v>
      </c>
      <c r="E138" s="1" cm="1">
        <f t="array" ref="E138">_xlfn.IFS(B138&lt;=_xlfn.PERCENTILE.INC($B$2:$B$288,0.2),5,B138&lt;=_xlfn.PERCENTILE.INC($B$2:$B$288,0.4),4,B138&lt;=_xlfn.PERCENTILE.INC($B$2:$B$288,0.6),3,B138&lt;=_xlfn.PERCENTILE.INC($B$2:$B$288,0.8),2,TRUE,1)</f>
        <v>2</v>
      </c>
      <c r="F138" s="1" cm="1">
        <f t="array" ref="F138">_xlfn.IFS(C138&gt;=_xlfn.PERCENTILE.INC($C$2:$C$288,0.8),5,C138&gt;=_xlfn.PERCENTILE.INC($C$2:$C$288,0.6),4,C138&gt;=_xlfn.PERCENTILE.INC($C$2:$C$288,0.4),3,C138&gt;=_xlfn.PERCENTILE.INC($C$2:$C$288,0.2),2,TRUE,1)</f>
        <v>5</v>
      </c>
      <c r="G138" s="1" cm="1">
        <f t="array" ref="G138">_xlfn.IFS(D138&gt;=_xlfn.PERCENTILE.INC($D$2:$D$288,0.8),5,D138&gt;=_xlfn.PERCENTILE.INC($D$2:$D$288,0.6),4,D138&gt;=_xlfn.PERCENTILE.INC($D$2:$D$288,0.4),3,D138&gt;=_xlfn.PERCENTILE.INC($D$2:$D$288,0.2),2,TRUE,1)</f>
        <v>4</v>
      </c>
      <c r="H138" s="1">
        <f t="shared" si="2"/>
        <v>11</v>
      </c>
      <c r="I138" s="1" t="str" cm="1">
        <f t="array" ref="I138">_xlfn.IFS(H138&gt;=13,"Best Customers",H138&gt;=10,"Loyal Customers",H138&gt;=7,"Potential Loyal Customers",H138&gt;=4,"Need Attention",TRUE,"At Risk")</f>
        <v>Loyal Customers</v>
      </c>
    </row>
    <row r="139" spans="1:9">
      <c r="A139" s="1" t="s">
        <v>465</v>
      </c>
      <c r="B139" s="9">
        <v>50.590868055602201</v>
      </c>
      <c r="C139" s="1">
        <v>4</v>
      </c>
      <c r="D139" s="4">
        <v>64.989999999999995</v>
      </c>
      <c r="E139" s="1" cm="1">
        <f t="array" ref="E139">_xlfn.IFS(B139&lt;=_xlfn.PERCENTILE.INC($B$2:$B$288,0.2),5,B139&lt;=_xlfn.PERCENTILE.INC($B$2:$B$288,0.4),4,B139&lt;=_xlfn.PERCENTILE.INC($B$2:$B$288,0.6),3,B139&lt;=_xlfn.PERCENTILE.INC($B$2:$B$288,0.8),2,TRUE,1)</f>
        <v>4</v>
      </c>
      <c r="F139" s="1" cm="1">
        <f t="array" ref="F139">_xlfn.IFS(C139&gt;=_xlfn.PERCENTILE.INC($C$2:$C$288,0.8),5,C139&gt;=_xlfn.PERCENTILE.INC($C$2:$C$288,0.6),4,C139&gt;=_xlfn.PERCENTILE.INC($C$2:$C$288,0.4),3,C139&gt;=_xlfn.PERCENTILE.INC($C$2:$C$288,0.2),2,TRUE,1)</f>
        <v>4</v>
      </c>
      <c r="G139" s="1" cm="1">
        <f t="array" ref="G139">_xlfn.IFS(D139&gt;=_xlfn.PERCENTILE.INC($D$2:$D$288,0.8),5,D139&gt;=_xlfn.PERCENTILE.INC($D$2:$D$288,0.6),4,D139&gt;=_xlfn.PERCENTILE.INC($D$2:$D$288,0.4),3,D139&gt;=_xlfn.PERCENTILE.INC($D$2:$D$288,0.2),2,TRUE,1)</f>
        <v>4</v>
      </c>
      <c r="H139" s="1">
        <f t="shared" si="2"/>
        <v>12</v>
      </c>
      <c r="I139" s="1" t="str" cm="1">
        <f t="array" ref="I139">_xlfn.IFS(H139&gt;=13,"Best Customers",H139&gt;=10,"Loyal Customers",H139&gt;=7,"Potential Loyal Customers",H139&gt;=4,"Need Attention",TRUE,"At Risk")</f>
        <v>Loyal Customers</v>
      </c>
    </row>
    <row r="140" spans="1:9">
      <c r="A140" s="1" t="s">
        <v>389</v>
      </c>
      <c r="B140" s="9">
        <v>97.590868055602201</v>
      </c>
      <c r="C140" s="1">
        <v>5</v>
      </c>
      <c r="D140" s="4">
        <v>98.48</v>
      </c>
      <c r="E140" s="1" cm="1">
        <f t="array" ref="E140">_xlfn.IFS(B140&lt;=_xlfn.PERCENTILE.INC($B$2:$B$288,0.2),5,B140&lt;=_xlfn.PERCENTILE.INC($B$2:$B$288,0.4),4,B140&lt;=_xlfn.PERCENTILE.INC($B$2:$B$288,0.6),3,B140&lt;=_xlfn.PERCENTILE.INC($B$2:$B$288,0.8),2,TRUE,1)</f>
        <v>3</v>
      </c>
      <c r="F140" s="1" cm="1">
        <f t="array" ref="F140">_xlfn.IFS(C140&gt;=_xlfn.PERCENTILE.INC($C$2:$C$288,0.8),5,C140&gt;=_xlfn.PERCENTILE.INC($C$2:$C$288,0.6),4,C140&gt;=_xlfn.PERCENTILE.INC($C$2:$C$288,0.4),3,C140&gt;=_xlfn.PERCENTILE.INC($C$2:$C$288,0.2),2,TRUE,1)</f>
        <v>5</v>
      </c>
      <c r="G140" s="1" cm="1">
        <f t="array" ref="G140">_xlfn.IFS(D140&gt;=_xlfn.PERCENTILE.INC($D$2:$D$288,0.8),5,D140&gt;=_xlfn.PERCENTILE.INC($D$2:$D$288,0.6),4,D140&gt;=_xlfn.PERCENTILE.INC($D$2:$D$288,0.4),3,D140&gt;=_xlfn.PERCENTILE.INC($D$2:$D$288,0.2),2,TRUE,1)</f>
        <v>5</v>
      </c>
      <c r="H140" s="1">
        <f t="shared" si="2"/>
        <v>13</v>
      </c>
      <c r="I140" s="1" t="str" cm="1">
        <f t="array" ref="I140">_xlfn.IFS(H140&gt;=13,"Best Customers",H140&gt;=10,"Loyal Customers",H140&gt;=7,"Potential Loyal Customers",H140&gt;=4,"Need Attention",TRUE,"At Risk")</f>
        <v>Best Customers</v>
      </c>
    </row>
    <row r="141" spans="1:9">
      <c r="A141" s="1" t="s">
        <v>190</v>
      </c>
      <c r="B141" s="9">
        <v>21.590868055602201</v>
      </c>
      <c r="C141" s="1">
        <v>5</v>
      </c>
      <c r="D141" s="4">
        <v>90.62</v>
      </c>
      <c r="E141" s="1" cm="1">
        <f t="array" ref="E141">_xlfn.IFS(B141&lt;=_xlfn.PERCENTILE.INC($B$2:$B$288,0.2),5,B141&lt;=_xlfn.PERCENTILE.INC($B$2:$B$288,0.4),4,B141&lt;=_xlfn.PERCENTILE.INC($B$2:$B$288,0.6),3,B141&lt;=_xlfn.PERCENTILE.INC($B$2:$B$288,0.8),2,TRUE,1)</f>
        <v>5</v>
      </c>
      <c r="F141" s="1" cm="1">
        <f t="array" ref="F141">_xlfn.IFS(C141&gt;=_xlfn.PERCENTILE.INC($C$2:$C$288,0.8),5,C141&gt;=_xlfn.PERCENTILE.INC($C$2:$C$288,0.6),4,C141&gt;=_xlfn.PERCENTILE.INC($C$2:$C$288,0.4),3,C141&gt;=_xlfn.PERCENTILE.INC($C$2:$C$288,0.2),2,TRUE,1)</f>
        <v>5</v>
      </c>
      <c r="G141" s="1" cm="1">
        <f t="array" ref="G141">_xlfn.IFS(D141&gt;=_xlfn.PERCENTILE.INC($D$2:$D$288,0.8),5,D141&gt;=_xlfn.PERCENTILE.INC($D$2:$D$288,0.6),4,D141&gt;=_xlfn.PERCENTILE.INC($D$2:$D$288,0.4),3,D141&gt;=_xlfn.PERCENTILE.INC($D$2:$D$288,0.2),2,TRUE,1)</f>
        <v>5</v>
      </c>
      <c r="H141" s="1">
        <f t="shared" si="2"/>
        <v>15</v>
      </c>
      <c r="I141" s="1" t="str" cm="1">
        <f t="array" ref="I141">_xlfn.IFS(H141&gt;=13,"Best Customers",H141&gt;=10,"Loyal Customers",H141&gt;=7,"Potential Loyal Customers",H141&gt;=4,"Need Attention",TRUE,"At Risk")</f>
        <v>Best Customers</v>
      </c>
    </row>
    <row r="142" spans="1:9">
      <c r="A142" s="1" t="s">
        <v>243</v>
      </c>
      <c r="B142" s="9">
        <v>45.590868055602201</v>
      </c>
      <c r="C142" s="1">
        <v>4</v>
      </c>
      <c r="D142" s="4">
        <v>61.65</v>
      </c>
      <c r="E142" s="1" cm="1">
        <f t="array" ref="E142">_xlfn.IFS(B142&lt;=_xlfn.PERCENTILE.INC($B$2:$B$288,0.2),5,B142&lt;=_xlfn.PERCENTILE.INC($B$2:$B$288,0.4),4,B142&lt;=_xlfn.PERCENTILE.INC($B$2:$B$288,0.6),3,B142&lt;=_xlfn.PERCENTILE.INC($B$2:$B$288,0.8),2,TRUE,1)</f>
        <v>4</v>
      </c>
      <c r="F142" s="1" cm="1">
        <f t="array" ref="F142">_xlfn.IFS(C142&gt;=_xlfn.PERCENTILE.INC($C$2:$C$288,0.8),5,C142&gt;=_xlfn.PERCENTILE.INC($C$2:$C$288,0.6),4,C142&gt;=_xlfn.PERCENTILE.INC($C$2:$C$288,0.4),3,C142&gt;=_xlfn.PERCENTILE.INC($C$2:$C$288,0.2),2,TRUE,1)</f>
        <v>4</v>
      </c>
      <c r="G142" s="1" cm="1">
        <f t="array" ref="G142">_xlfn.IFS(D142&gt;=_xlfn.PERCENTILE.INC($D$2:$D$288,0.8),5,D142&gt;=_xlfn.PERCENTILE.INC($D$2:$D$288,0.6),4,D142&gt;=_xlfn.PERCENTILE.INC($D$2:$D$288,0.4),3,D142&gt;=_xlfn.PERCENTILE.INC($D$2:$D$288,0.2),2,TRUE,1)</f>
        <v>4</v>
      </c>
      <c r="H142" s="1">
        <f t="shared" si="2"/>
        <v>12</v>
      </c>
      <c r="I142" s="1" t="str" cm="1">
        <f t="array" ref="I142">_xlfn.IFS(H142&gt;=13,"Best Customers",H142&gt;=10,"Loyal Customers",H142&gt;=7,"Potential Loyal Customers",H142&gt;=4,"Need Attention",TRUE,"At Risk")</f>
        <v>Loyal Customers</v>
      </c>
    </row>
    <row r="143" spans="1:9">
      <c r="A143" s="1" t="s">
        <v>284</v>
      </c>
      <c r="B143" s="9">
        <v>246.59086805560199</v>
      </c>
      <c r="C143" s="1">
        <v>3</v>
      </c>
      <c r="D143" s="4">
        <v>90.49</v>
      </c>
      <c r="E143" s="1" cm="1">
        <f t="array" ref="E143">_xlfn.IFS(B143&lt;=_xlfn.PERCENTILE.INC($B$2:$B$288,0.2),5,B143&lt;=_xlfn.PERCENTILE.INC($B$2:$B$288,0.4),4,B143&lt;=_xlfn.PERCENTILE.INC($B$2:$B$288,0.6),3,B143&lt;=_xlfn.PERCENTILE.INC($B$2:$B$288,0.8),2,TRUE,1)</f>
        <v>1</v>
      </c>
      <c r="F143" s="1" cm="1">
        <f t="array" ref="F143">_xlfn.IFS(C143&gt;=_xlfn.PERCENTILE.INC($C$2:$C$288,0.8),5,C143&gt;=_xlfn.PERCENTILE.INC($C$2:$C$288,0.6),4,C143&gt;=_xlfn.PERCENTILE.INC($C$2:$C$288,0.4),3,C143&gt;=_xlfn.PERCENTILE.INC($C$2:$C$288,0.2),2,TRUE,1)</f>
        <v>3</v>
      </c>
      <c r="G143" s="1" cm="1">
        <f t="array" ref="G143">_xlfn.IFS(D143&gt;=_xlfn.PERCENTILE.INC($D$2:$D$288,0.8),5,D143&gt;=_xlfn.PERCENTILE.INC($D$2:$D$288,0.6),4,D143&gt;=_xlfn.PERCENTILE.INC($D$2:$D$288,0.4),3,D143&gt;=_xlfn.PERCENTILE.INC($D$2:$D$288,0.2),2,TRUE,1)</f>
        <v>5</v>
      </c>
      <c r="H143" s="1">
        <f t="shared" si="2"/>
        <v>9</v>
      </c>
      <c r="I143" s="1" t="str" cm="1">
        <f t="array" ref="I143">_xlfn.IFS(H143&gt;=13,"Best Customers",H143&gt;=10,"Loyal Customers",H143&gt;=7,"Potential Loyal Customers",H143&gt;=4,"Need Attention",TRUE,"At Risk")</f>
        <v>Potential Loyal Customers</v>
      </c>
    </row>
    <row r="144" spans="1:9">
      <c r="A144" s="1" t="s">
        <v>385</v>
      </c>
      <c r="B144" s="9">
        <v>162.59086805560199</v>
      </c>
      <c r="C144" s="1">
        <v>2</v>
      </c>
      <c r="D144" s="4">
        <v>21.74</v>
      </c>
      <c r="E144" s="1" cm="1">
        <f t="array" ref="E144">_xlfn.IFS(B144&lt;=_xlfn.PERCENTILE.INC($B$2:$B$288,0.2),5,B144&lt;=_xlfn.PERCENTILE.INC($B$2:$B$288,0.4),4,B144&lt;=_xlfn.PERCENTILE.INC($B$2:$B$288,0.6),3,B144&lt;=_xlfn.PERCENTILE.INC($B$2:$B$288,0.8),2,TRUE,1)</f>
        <v>2</v>
      </c>
      <c r="F144" s="1" cm="1">
        <f t="array" ref="F144">_xlfn.IFS(C144&gt;=_xlfn.PERCENTILE.INC($C$2:$C$288,0.8),5,C144&gt;=_xlfn.PERCENTILE.INC($C$2:$C$288,0.6),4,C144&gt;=_xlfn.PERCENTILE.INC($C$2:$C$288,0.4),3,C144&gt;=_xlfn.PERCENTILE.INC($C$2:$C$288,0.2),2,TRUE,1)</f>
        <v>2</v>
      </c>
      <c r="G144" s="1" cm="1">
        <f t="array" ref="G144">_xlfn.IFS(D144&gt;=_xlfn.PERCENTILE.INC($D$2:$D$288,0.8),5,D144&gt;=_xlfn.PERCENTILE.INC($D$2:$D$288,0.6),4,D144&gt;=_xlfn.PERCENTILE.INC($D$2:$D$288,0.4),3,D144&gt;=_xlfn.PERCENTILE.INC($D$2:$D$288,0.2),2,TRUE,1)</f>
        <v>1</v>
      </c>
      <c r="H144" s="1">
        <f t="shared" si="2"/>
        <v>5</v>
      </c>
      <c r="I144" s="1" t="str" cm="1">
        <f t="array" ref="I144">_xlfn.IFS(H144&gt;=13,"Best Customers",H144&gt;=10,"Loyal Customers",H144&gt;=7,"Potential Loyal Customers",H144&gt;=4,"Need Attention",TRUE,"At Risk")</f>
        <v>Need Attention</v>
      </c>
    </row>
    <row r="145" spans="1:9">
      <c r="A145" s="1" t="s">
        <v>272</v>
      </c>
      <c r="B145" s="9">
        <v>82.590868055602201</v>
      </c>
      <c r="C145" s="1">
        <v>6</v>
      </c>
      <c r="D145" s="4">
        <v>92.44</v>
      </c>
      <c r="E145" s="1" cm="1">
        <f t="array" ref="E145">_xlfn.IFS(B145&lt;=_xlfn.PERCENTILE.INC($B$2:$B$288,0.2),5,B145&lt;=_xlfn.PERCENTILE.INC($B$2:$B$288,0.4),4,B145&lt;=_xlfn.PERCENTILE.INC($B$2:$B$288,0.6),3,B145&lt;=_xlfn.PERCENTILE.INC($B$2:$B$288,0.8),2,TRUE,1)</f>
        <v>3</v>
      </c>
      <c r="F145" s="1" cm="1">
        <f t="array" ref="F145">_xlfn.IFS(C145&gt;=_xlfn.PERCENTILE.INC($C$2:$C$288,0.8),5,C145&gt;=_xlfn.PERCENTILE.INC($C$2:$C$288,0.6),4,C145&gt;=_xlfn.PERCENTILE.INC($C$2:$C$288,0.4),3,C145&gt;=_xlfn.PERCENTILE.INC($C$2:$C$288,0.2),2,TRUE,1)</f>
        <v>5</v>
      </c>
      <c r="G145" s="1" cm="1">
        <f t="array" ref="G145">_xlfn.IFS(D145&gt;=_xlfn.PERCENTILE.INC($D$2:$D$288,0.8),5,D145&gt;=_xlfn.PERCENTILE.INC($D$2:$D$288,0.6),4,D145&gt;=_xlfn.PERCENTILE.INC($D$2:$D$288,0.4),3,D145&gt;=_xlfn.PERCENTILE.INC($D$2:$D$288,0.2),2,TRUE,1)</f>
        <v>5</v>
      </c>
      <c r="H145" s="1">
        <f t="shared" si="2"/>
        <v>13</v>
      </c>
      <c r="I145" s="1" t="str" cm="1">
        <f t="array" ref="I145">_xlfn.IFS(H145&gt;=13,"Best Customers",H145&gt;=10,"Loyal Customers",H145&gt;=7,"Potential Loyal Customers",H145&gt;=4,"Need Attention",TRUE,"At Risk")</f>
        <v>Best Customers</v>
      </c>
    </row>
    <row r="146" spans="1:9">
      <c r="A146" s="1" t="s">
        <v>110</v>
      </c>
      <c r="B146" s="9">
        <v>90.590868055602201</v>
      </c>
      <c r="C146" s="1">
        <v>6</v>
      </c>
      <c r="D146" s="4">
        <v>92.68</v>
      </c>
      <c r="E146" s="1" cm="1">
        <f t="array" ref="E146">_xlfn.IFS(B146&lt;=_xlfn.PERCENTILE.INC($B$2:$B$288,0.2),5,B146&lt;=_xlfn.PERCENTILE.INC($B$2:$B$288,0.4),4,B146&lt;=_xlfn.PERCENTILE.INC($B$2:$B$288,0.6),3,B146&lt;=_xlfn.PERCENTILE.INC($B$2:$B$288,0.8),2,TRUE,1)</f>
        <v>3</v>
      </c>
      <c r="F146" s="1" cm="1">
        <f t="array" ref="F146">_xlfn.IFS(C146&gt;=_xlfn.PERCENTILE.INC($C$2:$C$288,0.8),5,C146&gt;=_xlfn.PERCENTILE.INC($C$2:$C$288,0.6),4,C146&gt;=_xlfn.PERCENTILE.INC($C$2:$C$288,0.4),3,C146&gt;=_xlfn.PERCENTILE.INC($C$2:$C$288,0.2),2,TRUE,1)</f>
        <v>5</v>
      </c>
      <c r="G146" s="1" cm="1">
        <f t="array" ref="G146">_xlfn.IFS(D146&gt;=_xlfn.PERCENTILE.INC($D$2:$D$288,0.8),5,D146&gt;=_xlfn.PERCENTILE.INC($D$2:$D$288,0.6),4,D146&gt;=_xlfn.PERCENTILE.INC($D$2:$D$288,0.4),3,D146&gt;=_xlfn.PERCENTILE.INC($D$2:$D$288,0.2),2,TRUE,1)</f>
        <v>5</v>
      </c>
      <c r="H146" s="1">
        <f t="shared" si="2"/>
        <v>13</v>
      </c>
      <c r="I146" s="1" t="str" cm="1">
        <f t="array" ref="I146">_xlfn.IFS(H146&gt;=13,"Best Customers",H146&gt;=10,"Loyal Customers",H146&gt;=7,"Potential Loyal Customers",H146&gt;=4,"Need Attention",TRUE,"At Risk")</f>
        <v>Best Customers</v>
      </c>
    </row>
    <row r="147" spans="1:9">
      <c r="A147" s="1" t="s">
        <v>250</v>
      </c>
      <c r="B147" s="9">
        <v>60.590868055602201</v>
      </c>
      <c r="C147" s="1">
        <v>7</v>
      </c>
      <c r="D147" s="4">
        <v>88.16</v>
      </c>
      <c r="E147" s="1" cm="1">
        <f t="array" ref="E147">_xlfn.IFS(B147&lt;=_xlfn.PERCENTILE.INC($B$2:$B$288,0.2),5,B147&lt;=_xlfn.PERCENTILE.INC($B$2:$B$288,0.4),4,B147&lt;=_xlfn.PERCENTILE.INC($B$2:$B$288,0.6),3,B147&lt;=_xlfn.PERCENTILE.INC($B$2:$B$288,0.8),2,TRUE,1)</f>
        <v>3</v>
      </c>
      <c r="F147" s="1" cm="1">
        <f t="array" ref="F147">_xlfn.IFS(C147&gt;=_xlfn.PERCENTILE.INC($C$2:$C$288,0.8),5,C147&gt;=_xlfn.PERCENTILE.INC($C$2:$C$288,0.6),4,C147&gt;=_xlfn.PERCENTILE.INC($C$2:$C$288,0.4),3,C147&gt;=_xlfn.PERCENTILE.INC($C$2:$C$288,0.2),2,TRUE,1)</f>
        <v>5</v>
      </c>
      <c r="G147" s="1" cm="1">
        <f t="array" ref="G147">_xlfn.IFS(D147&gt;=_xlfn.PERCENTILE.INC($D$2:$D$288,0.8),5,D147&gt;=_xlfn.PERCENTILE.INC($D$2:$D$288,0.6),4,D147&gt;=_xlfn.PERCENTILE.INC($D$2:$D$288,0.4),3,D147&gt;=_xlfn.PERCENTILE.INC($D$2:$D$288,0.2),2,TRUE,1)</f>
        <v>4</v>
      </c>
      <c r="H147" s="1">
        <f t="shared" si="2"/>
        <v>12</v>
      </c>
      <c r="I147" s="1" t="str" cm="1">
        <f t="array" ref="I147">_xlfn.IFS(H147&gt;=13,"Best Customers",H147&gt;=10,"Loyal Customers",H147&gt;=7,"Potential Loyal Customers",H147&gt;=4,"Need Attention",TRUE,"At Risk")</f>
        <v>Loyal Customers</v>
      </c>
    </row>
    <row r="148" spans="1:9">
      <c r="A148" s="1" t="s">
        <v>776</v>
      </c>
      <c r="B148" s="9">
        <v>112.590868055602</v>
      </c>
      <c r="C148" s="1">
        <v>2</v>
      </c>
      <c r="D148" s="4">
        <v>33.090000000000003</v>
      </c>
      <c r="E148" s="1" cm="1">
        <f t="array" ref="E148">_xlfn.IFS(B148&lt;=_xlfn.PERCENTILE.INC($B$2:$B$288,0.2),5,B148&lt;=_xlfn.PERCENTILE.INC($B$2:$B$288,0.4),4,B148&lt;=_xlfn.PERCENTILE.INC($B$2:$B$288,0.6),3,B148&lt;=_xlfn.PERCENTILE.INC($B$2:$B$288,0.8),2,TRUE,1)</f>
        <v>2</v>
      </c>
      <c r="F148" s="1" cm="1">
        <f t="array" ref="F148">_xlfn.IFS(C148&gt;=_xlfn.PERCENTILE.INC($C$2:$C$288,0.8),5,C148&gt;=_xlfn.PERCENTILE.INC($C$2:$C$288,0.6),4,C148&gt;=_xlfn.PERCENTILE.INC($C$2:$C$288,0.4),3,C148&gt;=_xlfn.PERCENTILE.INC($C$2:$C$288,0.2),2,TRUE,1)</f>
        <v>2</v>
      </c>
      <c r="G148" s="1" cm="1">
        <f t="array" ref="G148">_xlfn.IFS(D148&gt;=_xlfn.PERCENTILE.INC($D$2:$D$288,0.8),5,D148&gt;=_xlfn.PERCENTILE.INC($D$2:$D$288,0.6),4,D148&gt;=_xlfn.PERCENTILE.INC($D$2:$D$288,0.4),3,D148&gt;=_xlfn.PERCENTILE.INC($D$2:$D$288,0.2),2,TRUE,1)</f>
        <v>2</v>
      </c>
      <c r="H148" s="1">
        <f t="shared" si="2"/>
        <v>6</v>
      </c>
      <c r="I148" s="1" t="str" cm="1">
        <f t="array" ref="I148">_xlfn.IFS(H148&gt;=13,"Best Customers",H148&gt;=10,"Loyal Customers",H148&gt;=7,"Potential Loyal Customers",H148&gt;=4,"Need Attention",TRUE,"At Risk")</f>
        <v>Need Attention</v>
      </c>
    </row>
    <row r="149" spans="1:9">
      <c r="A149" s="1" t="s">
        <v>287</v>
      </c>
      <c r="B149" s="9">
        <v>264.59086805560202</v>
      </c>
      <c r="C149" s="1">
        <v>3</v>
      </c>
      <c r="D149" s="4">
        <v>72.319999999999993</v>
      </c>
      <c r="E149" s="1" cm="1">
        <f t="array" ref="E149">_xlfn.IFS(B149&lt;=_xlfn.PERCENTILE.INC($B$2:$B$288,0.2),5,B149&lt;=_xlfn.PERCENTILE.INC($B$2:$B$288,0.4),4,B149&lt;=_xlfn.PERCENTILE.INC($B$2:$B$288,0.6),3,B149&lt;=_xlfn.PERCENTILE.INC($B$2:$B$288,0.8),2,TRUE,1)</f>
        <v>1</v>
      </c>
      <c r="F149" s="1" cm="1">
        <f t="array" ref="F149">_xlfn.IFS(C149&gt;=_xlfn.PERCENTILE.INC($C$2:$C$288,0.8),5,C149&gt;=_xlfn.PERCENTILE.INC($C$2:$C$288,0.6),4,C149&gt;=_xlfn.PERCENTILE.INC($C$2:$C$288,0.4),3,C149&gt;=_xlfn.PERCENTILE.INC($C$2:$C$288,0.2),2,TRUE,1)</f>
        <v>3</v>
      </c>
      <c r="G149" s="1" cm="1">
        <f t="array" ref="G149">_xlfn.IFS(D149&gt;=_xlfn.PERCENTILE.INC($D$2:$D$288,0.8),5,D149&gt;=_xlfn.PERCENTILE.INC($D$2:$D$288,0.6),4,D149&gt;=_xlfn.PERCENTILE.INC($D$2:$D$288,0.4),3,D149&gt;=_xlfn.PERCENTILE.INC($D$2:$D$288,0.2),2,TRUE,1)</f>
        <v>4</v>
      </c>
      <c r="H149" s="1">
        <f t="shared" si="2"/>
        <v>8</v>
      </c>
      <c r="I149" s="1" t="str" cm="1">
        <f t="array" ref="I149">_xlfn.IFS(H149&gt;=13,"Best Customers",H149&gt;=10,"Loyal Customers",H149&gt;=7,"Potential Loyal Customers",H149&gt;=4,"Need Attention",TRUE,"At Risk")</f>
        <v>Potential Loyal Customers</v>
      </c>
    </row>
    <row r="150" spans="1:9">
      <c r="A150" s="1" t="s">
        <v>132</v>
      </c>
      <c r="B150" s="9">
        <v>48.590868055602201</v>
      </c>
      <c r="C150" s="1">
        <v>7</v>
      </c>
      <c r="D150" s="4">
        <v>132.83000000000001</v>
      </c>
      <c r="E150" s="1" cm="1">
        <f t="array" ref="E150">_xlfn.IFS(B150&lt;=_xlfn.PERCENTILE.INC($B$2:$B$288,0.2),5,B150&lt;=_xlfn.PERCENTILE.INC($B$2:$B$288,0.4),4,B150&lt;=_xlfn.PERCENTILE.INC($B$2:$B$288,0.6),3,B150&lt;=_xlfn.PERCENTILE.INC($B$2:$B$288,0.8),2,TRUE,1)</f>
        <v>4</v>
      </c>
      <c r="F150" s="1" cm="1">
        <f t="array" ref="F150">_xlfn.IFS(C150&gt;=_xlfn.PERCENTILE.INC($C$2:$C$288,0.8),5,C150&gt;=_xlfn.PERCENTILE.INC($C$2:$C$288,0.6),4,C150&gt;=_xlfn.PERCENTILE.INC($C$2:$C$288,0.4),3,C150&gt;=_xlfn.PERCENTILE.INC($C$2:$C$288,0.2),2,TRUE,1)</f>
        <v>5</v>
      </c>
      <c r="G150" s="1" cm="1">
        <f t="array" ref="G150">_xlfn.IFS(D150&gt;=_xlfn.PERCENTILE.INC($D$2:$D$288,0.8),5,D150&gt;=_xlfn.PERCENTILE.INC($D$2:$D$288,0.6),4,D150&gt;=_xlfn.PERCENTILE.INC($D$2:$D$288,0.4),3,D150&gt;=_xlfn.PERCENTILE.INC($D$2:$D$288,0.2),2,TRUE,1)</f>
        <v>5</v>
      </c>
      <c r="H150" s="1">
        <f t="shared" si="2"/>
        <v>14</v>
      </c>
      <c r="I150" s="1" t="str" cm="1">
        <f t="array" ref="I150">_xlfn.IFS(H150&gt;=13,"Best Customers",H150&gt;=10,"Loyal Customers",H150&gt;=7,"Potential Loyal Customers",H150&gt;=4,"Need Attention",TRUE,"At Risk")</f>
        <v>Best Customers</v>
      </c>
    </row>
    <row r="151" spans="1:9">
      <c r="A151" s="1" t="s">
        <v>309</v>
      </c>
      <c r="B151" s="9">
        <v>54.590868055602201</v>
      </c>
      <c r="C151" s="1">
        <v>5</v>
      </c>
      <c r="D151" s="4">
        <v>77.510000000000005</v>
      </c>
      <c r="E151" s="1" cm="1">
        <f t="array" ref="E151">_xlfn.IFS(B151&lt;=_xlfn.PERCENTILE.INC($B$2:$B$288,0.2),5,B151&lt;=_xlfn.PERCENTILE.INC($B$2:$B$288,0.4),4,B151&lt;=_xlfn.PERCENTILE.INC($B$2:$B$288,0.6),3,B151&lt;=_xlfn.PERCENTILE.INC($B$2:$B$288,0.8),2,TRUE,1)</f>
        <v>4</v>
      </c>
      <c r="F151" s="1" cm="1">
        <f t="array" ref="F151">_xlfn.IFS(C151&gt;=_xlfn.PERCENTILE.INC($C$2:$C$288,0.8),5,C151&gt;=_xlfn.PERCENTILE.INC($C$2:$C$288,0.6),4,C151&gt;=_xlfn.PERCENTILE.INC($C$2:$C$288,0.4),3,C151&gt;=_xlfn.PERCENTILE.INC($C$2:$C$288,0.2),2,TRUE,1)</f>
        <v>5</v>
      </c>
      <c r="G151" s="1" cm="1">
        <f t="array" ref="G151">_xlfn.IFS(D151&gt;=_xlfn.PERCENTILE.INC($D$2:$D$288,0.8),5,D151&gt;=_xlfn.PERCENTILE.INC($D$2:$D$288,0.6),4,D151&gt;=_xlfn.PERCENTILE.INC($D$2:$D$288,0.4),3,D151&gt;=_xlfn.PERCENTILE.INC($D$2:$D$288,0.2),2,TRUE,1)</f>
        <v>4</v>
      </c>
      <c r="H151" s="1">
        <f t="shared" si="2"/>
        <v>13</v>
      </c>
      <c r="I151" s="1" t="str" cm="1">
        <f t="array" ref="I151">_xlfn.IFS(H151&gt;=13,"Best Customers",H151&gt;=10,"Loyal Customers",H151&gt;=7,"Potential Loyal Customers",H151&gt;=4,"Need Attention",TRUE,"At Risk")</f>
        <v>Best Customers</v>
      </c>
    </row>
    <row r="152" spans="1:9">
      <c r="A152" s="1" t="s">
        <v>157</v>
      </c>
      <c r="B152" s="9">
        <v>44.590868055602201</v>
      </c>
      <c r="C152" s="1">
        <v>5</v>
      </c>
      <c r="D152" s="4">
        <v>85.34</v>
      </c>
      <c r="E152" s="1" cm="1">
        <f t="array" ref="E152">_xlfn.IFS(B152&lt;=_xlfn.PERCENTILE.INC($B$2:$B$288,0.2),5,B152&lt;=_xlfn.PERCENTILE.INC($B$2:$B$288,0.4),4,B152&lt;=_xlfn.PERCENTILE.INC($B$2:$B$288,0.6),3,B152&lt;=_xlfn.PERCENTILE.INC($B$2:$B$288,0.8),2,TRUE,1)</f>
        <v>4</v>
      </c>
      <c r="F152" s="1" cm="1">
        <f t="array" ref="F152">_xlfn.IFS(C152&gt;=_xlfn.PERCENTILE.INC($C$2:$C$288,0.8),5,C152&gt;=_xlfn.PERCENTILE.INC($C$2:$C$288,0.6),4,C152&gt;=_xlfn.PERCENTILE.INC($C$2:$C$288,0.4),3,C152&gt;=_xlfn.PERCENTILE.INC($C$2:$C$288,0.2),2,TRUE,1)</f>
        <v>5</v>
      </c>
      <c r="G152" s="1" cm="1">
        <f t="array" ref="G152">_xlfn.IFS(D152&gt;=_xlfn.PERCENTILE.INC($D$2:$D$288,0.8),5,D152&gt;=_xlfn.PERCENTILE.INC($D$2:$D$288,0.6),4,D152&gt;=_xlfn.PERCENTILE.INC($D$2:$D$288,0.4),3,D152&gt;=_xlfn.PERCENTILE.INC($D$2:$D$288,0.2),2,TRUE,1)</f>
        <v>4</v>
      </c>
      <c r="H152" s="1">
        <f t="shared" si="2"/>
        <v>13</v>
      </c>
      <c r="I152" s="1" t="str" cm="1">
        <f t="array" ref="I152">_xlfn.IFS(H152&gt;=13,"Best Customers",H152&gt;=10,"Loyal Customers",H152&gt;=7,"Potential Loyal Customers",H152&gt;=4,"Need Attention",TRUE,"At Risk")</f>
        <v>Best Customers</v>
      </c>
    </row>
    <row r="153" spans="1:9">
      <c r="A153" s="1" t="s">
        <v>713</v>
      </c>
      <c r="B153" s="9">
        <v>9.5908680556021899</v>
      </c>
      <c r="C153" s="1">
        <v>4</v>
      </c>
      <c r="D153" s="4">
        <v>59.02</v>
      </c>
      <c r="E153" s="1" cm="1">
        <f t="array" ref="E153">_xlfn.IFS(B153&lt;=_xlfn.PERCENTILE.INC($B$2:$B$288,0.2),5,B153&lt;=_xlfn.PERCENTILE.INC($B$2:$B$288,0.4),4,B153&lt;=_xlfn.PERCENTILE.INC($B$2:$B$288,0.6),3,B153&lt;=_xlfn.PERCENTILE.INC($B$2:$B$288,0.8),2,TRUE,1)</f>
        <v>5</v>
      </c>
      <c r="F153" s="1" cm="1">
        <f t="array" ref="F153">_xlfn.IFS(C153&gt;=_xlfn.PERCENTILE.INC($C$2:$C$288,0.8),5,C153&gt;=_xlfn.PERCENTILE.INC($C$2:$C$288,0.6),4,C153&gt;=_xlfn.PERCENTILE.INC($C$2:$C$288,0.4),3,C153&gt;=_xlfn.PERCENTILE.INC($C$2:$C$288,0.2),2,TRUE,1)</f>
        <v>4</v>
      </c>
      <c r="G153" s="1" cm="1">
        <f t="array" ref="G153">_xlfn.IFS(D153&gt;=_xlfn.PERCENTILE.INC($D$2:$D$288,0.8),5,D153&gt;=_xlfn.PERCENTILE.INC($D$2:$D$288,0.6),4,D153&gt;=_xlfn.PERCENTILE.INC($D$2:$D$288,0.4),3,D153&gt;=_xlfn.PERCENTILE.INC($D$2:$D$288,0.2),2,TRUE,1)</f>
        <v>3</v>
      </c>
      <c r="H153" s="1">
        <f t="shared" si="2"/>
        <v>12</v>
      </c>
      <c r="I153" s="1" t="str" cm="1">
        <f t="array" ref="I153">_xlfn.IFS(H153&gt;=13,"Best Customers",H153&gt;=10,"Loyal Customers",H153&gt;=7,"Potential Loyal Customers",H153&gt;=4,"Need Attention",TRUE,"At Risk")</f>
        <v>Loyal Customers</v>
      </c>
    </row>
    <row r="154" spans="1:9">
      <c r="A154" s="1" t="s">
        <v>9</v>
      </c>
      <c r="B154" s="9">
        <v>16.590868055602201</v>
      </c>
      <c r="C154" s="1">
        <v>8</v>
      </c>
      <c r="D154" s="4">
        <v>103.61</v>
      </c>
      <c r="E154" s="1" cm="1">
        <f t="array" ref="E154">_xlfn.IFS(B154&lt;=_xlfn.PERCENTILE.INC($B$2:$B$288,0.2),5,B154&lt;=_xlfn.PERCENTILE.INC($B$2:$B$288,0.4),4,B154&lt;=_xlfn.PERCENTILE.INC($B$2:$B$288,0.6),3,B154&lt;=_xlfn.PERCENTILE.INC($B$2:$B$288,0.8),2,TRUE,1)</f>
        <v>5</v>
      </c>
      <c r="F154" s="1" cm="1">
        <f t="array" ref="F154">_xlfn.IFS(C154&gt;=_xlfn.PERCENTILE.INC($C$2:$C$288,0.8),5,C154&gt;=_xlfn.PERCENTILE.INC($C$2:$C$288,0.6),4,C154&gt;=_xlfn.PERCENTILE.INC($C$2:$C$288,0.4),3,C154&gt;=_xlfn.PERCENTILE.INC($C$2:$C$288,0.2),2,TRUE,1)</f>
        <v>5</v>
      </c>
      <c r="G154" s="1" cm="1">
        <f t="array" ref="G154">_xlfn.IFS(D154&gt;=_xlfn.PERCENTILE.INC($D$2:$D$288,0.8),5,D154&gt;=_xlfn.PERCENTILE.INC($D$2:$D$288,0.6),4,D154&gt;=_xlfn.PERCENTILE.INC($D$2:$D$288,0.4),3,D154&gt;=_xlfn.PERCENTILE.INC($D$2:$D$288,0.2),2,TRUE,1)</f>
        <v>5</v>
      </c>
      <c r="H154" s="1">
        <f t="shared" si="2"/>
        <v>15</v>
      </c>
      <c r="I154" s="1" t="str" cm="1">
        <f t="array" ref="I154">_xlfn.IFS(H154&gt;=13,"Best Customers",H154&gt;=10,"Loyal Customers",H154&gt;=7,"Potential Loyal Customers",H154&gt;=4,"Need Attention",TRUE,"At Risk")</f>
        <v>Best Customers</v>
      </c>
    </row>
    <row r="155" spans="1:9">
      <c r="A155" s="1" t="s">
        <v>342</v>
      </c>
      <c r="B155" s="9">
        <v>132.59086805560199</v>
      </c>
      <c r="C155" s="1">
        <v>2</v>
      </c>
      <c r="D155" s="4">
        <v>14.67</v>
      </c>
      <c r="E155" s="1" cm="1">
        <f t="array" ref="E155">_xlfn.IFS(B155&lt;=_xlfn.PERCENTILE.INC($B$2:$B$288,0.2),5,B155&lt;=_xlfn.PERCENTILE.INC($B$2:$B$288,0.4),4,B155&lt;=_xlfn.PERCENTILE.INC($B$2:$B$288,0.6),3,B155&lt;=_xlfn.PERCENTILE.INC($B$2:$B$288,0.8),2,TRUE,1)</f>
        <v>2</v>
      </c>
      <c r="F155" s="1" cm="1">
        <f t="array" ref="F155">_xlfn.IFS(C155&gt;=_xlfn.PERCENTILE.INC($C$2:$C$288,0.8),5,C155&gt;=_xlfn.PERCENTILE.INC($C$2:$C$288,0.6),4,C155&gt;=_xlfn.PERCENTILE.INC($C$2:$C$288,0.4),3,C155&gt;=_xlfn.PERCENTILE.INC($C$2:$C$288,0.2),2,TRUE,1)</f>
        <v>2</v>
      </c>
      <c r="G155" s="1" cm="1">
        <f t="array" ref="G155">_xlfn.IFS(D155&gt;=_xlfn.PERCENTILE.INC($D$2:$D$288,0.8),5,D155&gt;=_xlfn.PERCENTILE.INC($D$2:$D$288,0.6),4,D155&gt;=_xlfn.PERCENTILE.INC($D$2:$D$288,0.4),3,D155&gt;=_xlfn.PERCENTILE.INC($D$2:$D$288,0.2),2,TRUE,1)</f>
        <v>1</v>
      </c>
      <c r="H155" s="1">
        <f t="shared" si="2"/>
        <v>5</v>
      </c>
      <c r="I155" s="1" t="str" cm="1">
        <f t="array" ref="I155">_xlfn.IFS(H155&gt;=13,"Best Customers",H155&gt;=10,"Loyal Customers",H155&gt;=7,"Potential Loyal Customers",H155&gt;=4,"Need Attention",TRUE,"At Risk")</f>
        <v>Need Attention</v>
      </c>
    </row>
    <row r="156" spans="1:9">
      <c r="A156" s="1" t="s">
        <v>809</v>
      </c>
      <c r="B156" s="9">
        <v>214.59086805560199</v>
      </c>
      <c r="C156" s="1">
        <v>3</v>
      </c>
      <c r="D156" s="4">
        <v>29.84</v>
      </c>
      <c r="E156" s="1" cm="1">
        <f t="array" ref="E156">_xlfn.IFS(B156&lt;=_xlfn.PERCENTILE.INC($B$2:$B$288,0.2),5,B156&lt;=_xlfn.PERCENTILE.INC($B$2:$B$288,0.4),4,B156&lt;=_xlfn.PERCENTILE.INC($B$2:$B$288,0.6),3,B156&lt;=_xlfn.PERCENTILE.INC($B$2:$B$288,0.8),2,TRUE,1)</f>
        <v>1</v>
      </c>
      <c r="F156" s="1" cm="1">
        <f t="array" ref="F156">_xlfn.IFS(C156&gt;=_xlfn.PERCENTILE.INC($C$2:$C$288,0.8),5,C156&gt;=_xlfn.PERCENTILE.INC($C$2:$C$288,0.6),4,C156&gt;=_xlfn.PERCENTILE.INC($C$2:$C$288,0.4),3,C156&gt;=_xlfn.PERCENTILE.INC($C$2:$C$288,0.2),2,TRUE,1)</f>
        <v>3</v>
      </c>
      <c r="G156" s="1" cm="1">
        <f t="array" ref="G156">_xlfn.IFS(D156&gt;=_xlfn.PERCENTILE.INC($D$2:$D$288,0.8),5,D156&gt;=_xlfn.PERCENTILE.INC($D$2:$D$288,0.6),4,D156&gt;=_xlfn.PERCENTILE.INC($D$2:$D$288,0.4),3,D156&gt;=_xlfn.PERCENTILE.INC($D$2:$D$288,0.2),2,TRUE,1)</f>
        <v>2</v>
      </c>
      <c r="H156" s="1">
        <f t="shared" si="2"/>
        <v>6</v>
      </c>
      <c r="I156" s="1" t="str" cm="1">
        <f t="array" ref="I156">_xlfn.IFS(H156&gt;=13,"Best Customers",H156&gt;=10,"Loyal Customers",H156&gt;=7,"Potential Loyal Customers",H156&gt;=4,"Need Attention",TRUE,"At Risk")</f>
        <v>Need Attention</v>
      </c>
    </row>
    <row r="157" spans="1:9">
      <c r="A157" s="1" t="s">
        <v>511</v>
      </c>
      <c r="B157" s="9">
        <v>100.590868055602</v>
      </c>
      <c r="C157" s="1">
        <v>4</v>
      </c>
      <c r="D157" s="4">
        <v>52.29</v>
      </c>
      <c r="E157" s="1" cm="1">
        <f t="array" ref="E157">_xlfn.IFS(B157&lt;=_xlfn.PERCENTILE.INC($B$2:$B$288,0.2),5,B157&lt;=_xlfn.PERCENTILE.INC($B$2:$B$288,0.4),4,B157&lt;=_xlfn.PERCENTILE.INC($B$2:$B$288,0.6),3,B157&lt;=_xlfn.PERCENTILE.INC($B$2:$B$288,0.8),2,TRUE,1)</f>
        <v>3</v>
      </c>
      <c r="F157" s="1" cm="1">
        <f t="array" ref="F157">_xlfn.IFS(C157&gt;=_xlfn.PERCENTILE.INC($C$2:$C$288,0.8),5,C157&gt;=_xlfn.PERCENTILE.INC($C$2:$C$288,0.6),4,C157&gt;=_xlfn.PERCENTILE.INC($C$2:$C$288,0.4),3,C157&gt;=_xlfn.PERCENTILE.INC($C$2:$C$288,0.2),2,TRUE,1)</f>
        <v>4</v>
      </c>
      <c r="G157" s="1" cm="1">
        <f t="array" ref="G157">_xlfn.IFS(D157&gt;=_xlfn.PERCENTILE.INC($D$2:$D$288,0.8),5,D157&gt;=_xlfn.PERCENTILE.INC($D$2:$D$288,0.6),4,D157&gt;=_xlfn.PERCENTILE.INC($D$2:$D$288,0.4),3,D157&gt;=_xlfn.PERCENTILE.INC($D$2:$D$288,0.2),2,TRUE,1)</f>
        <v>3</v>
      </c>
      <c r="H157" s="1">
        <f t="shared" si="2"/>
        <v>10</v>
      </c>
      <c r="I157" s="1" t="str" cm="1">
        <f t="array" ref="I157">_xlfn.IFS(H157&gt;=13,"Best Customers",H157&gt;=10,"Loyal Customers",H157&gt;=7,"Potential Loyal Customers",H157&gt;=4,"Need Attention",TRUE,"At Risk")</f>
        <v>Loyal Customers</v>
      </c>
    </row>
    <row r="158" spans="1:9">
      <c r="A158" s="1" t="s">
        <v>74</v>
      </c>
      <c r="B158" s="9">
        <v>118.590868055602</v>
      </c>
      <c r="C158" s="1">
        <v>4</v>
      </c>
      <c r="D158" s="4">
        <v>85.34</v>
      </c>
      <c r="E158" s="1" cm="1">
        <f t="array" ref="E158">_xlfn.IFS(B158&lt;=_xlfn.PERCENTILE.INC($B$2:$B$288,0.2),5,B158&lt;=_xlfn.PERCENTILE.INC($B$2:$B$288,0.4),4,B158&lt;=_xlfn.PERCENTILE.INC($B$2:$B$288,0.6),3,B158&lt;=_xlfn.PERCENTILE.INC($B$2:$B$288,0.8),2,TRUE,1)</f>
        <v>2</v>
      </c>
      <c r="F158" s="1" cm="1">
        <f t="array" ref="F158">_xlfn.IFS(C158&gt;=_xlfn.PERCENTILE.INC($C$2:$C$288,0.8),5,C158&gt;=_xlfn.PERCENTILE.INC($C$2:$C$288,0.6),4,C158&gt;=_xlfn.PERCENTILE.INC($C$2:$C$288,0.4),3,C158&gt;=_xlfn.PERCENTILE.INC($C$2:$C$288,0.2),2,TRUE,1)</f>
        <v>4</v>
      </c>
      <c r="G158" s="1" cm="1">
        <f t="array" ref="G158">_xlfn.IFS(D158&gt;=_xlfn.PERCENTILE.INC($D$2:$D$288,0.8),5,D158&gt;=_xlfn.PERCENTILE.INC($D$2:$D$288,0.6),4,D158&gt;=_xlfn.PERCENTILE.INC($D$2:$D$288,0.4),3,D158&gt;=_xlfn.PERCENTILE.INC($D$2:$D$288,0.2),2,TRUE,1)</f>
        <v>4</v>
      </c>
      <c r="H158" s="1">
        <f t="shared" si="2"/>
        <v>10</v>
      </c>
      <c r="I158" s="1" t="str" cm="1">
        <f t="array" ref="I158">_xlfn.IFS(H158&gt;=13,"Best Customers",H158&gt;=10,"Loyal Customers",H158&gt;=7,"Potential Loyal Customers",H158&gt;=4,"Need Attention",TRUE,"At Risk")</f>
        <v>Loyal Customers</v>
      </c>
    </row>
    <row r="159" spans="1:9">
      <c r="A159" s="1" t="s">
        <v>331</v>
      </c>
      <c r="B159" s="9">
        <v>4.5908680556021899</v>
      </c>
      <c r="C159" s="1">
        <v>4</v>
      </c>
      <c r="D159" s="4">
        <v>137.26</v>
      </c>
      <c r="E159" s="1" cm="1">
        <f t="array" ref="E159">_xlfn.IFS(B159&lt;=_xlfn.PERCENTILE.INC($B$2:$B$288,0.2),5,B159&lt;=_xlfn.PERCENTILE.INC($B$2:$B$288,0.4),4,B159&lt;=_xlfn.PERCENTILE.INC($B$2:$B$288,0.6),3,B159&lt;=_xlfn.PERCENTILE.INC($B$2:$B$288,0.8),2,TRUE,1)</f>
        <v>5</v>
      </c>
      <c r="F159" s="1" cm="1">
        <f t="array" ref="F159">_xlfn.IFS(C159&gt;=_xlfn.PERCENTILE.INC($C$2:$C$288,0.8),5,C159&gt;=_xlfn.PERCENTILE.INC($C$2:$C$288,0.6),4,C159&gt;=_xlfn.PERCENTILE.INC($C$2:$C$288,0.4),3,C159&gt;=_xlfn.PERCENTILE.INC($C$2:$C$288,0.2),2,TRUE,1)</f>
        <v>4</v>
      </c>
      <c r="G159" s="1" cm="1">
        <f t="array" ref="G159">_xlfn.IFS(D159&gt;=_xlfn.PERCENTILE.INC($D$2:$D$288,0.8),5,D159&gt;=_xlfn.PERCENTILE.INC($D$2:$D$288,0.6),4,D159&gt;=_xlfn.PERCENTILE.INC($D$2:$D$288,0.4),3,D159&gt;=_xlfn.PERCENTILE.INC($D$2:$D$288,0.2),2,TRUE,1)</f>
        <v>5</v>
      </c>
      <c r="H159" s="1">
        <f t="shared" si="2"/>
        <v>14</v>
      </c>
      <c r="I159" s="1" t="str" cm="1">
        <f t="array" ref="I159">_xlfn.IFS(H159&gt;=13,"Best Customers",H159&gt;=10,"Loyal Customers",H159&gt;=7,"Potential Loyal Customers",H159&gt;=4,"Need Attention",TRUE,"At Risk")</f>
        <v>Best Customers</v>
      </c>
    </row>
    <row r="160" spans="1:9">
      <c r="A160" s="1" t="s">
        <v>1280</v>
      </c>
      <c r="B160" s="9">
        <v>247.59086805560199</v>
      </c>
      <c r="C160" s="1">
        <v>1</v>
      </c>
      <c r="D160" s="4">
        <v>10.17</v>
      </c>
      <c r="E160" s="1" cm="1">
        <f t="array" ref="E160">_xlfn.IFS(B160&lt;=_xlfn.PERCENTILE.INC($B$2:$B$288,0.2),5,B160&lt;=_xlfn.PERCENTILE.INC($B$2:$B$288,0.4),4,B160&lt;=_xlfn.PERCENTILE.INC($B$2:$B$288,0.6),3,B160&lt;=_xlfn.PERCENTILE.INC($B$2:$B$288,0.8),2,TRUE,1)</f>
        <v>1</v>
      </c>
      <c r="F160" s="1" cm="1">
        <f t="array" ref="F160">_xlfn.IFS(C160&gt;=_xlfn.PERCENTILE.INC($C$2:$C$288,0.8),5,C160&gt;=_xlfn.PERCENTILE.INC($C$2:$C$288,0.6),4,C160&gt;=_xlfn.PERCENTILE.INC($C$2:$C$288,0.4),3,C160&gt;=_xlfn.PERCENTILE.INC($C$2:$C$288,0.2),2,TRUE,1)</f>
        <v>1</v>
      </c>
      <c r="G160" s="1" cm="1">
        <f t="array" ref="G160">_xlfn.IFS(D160&gt;=_xlfn.PERCENTILE.INC($D$2:$D$288,0.8),5,D160&gt;=_xlfn.PERCENTILE.INC($D$2:$D$288,0.6),4,D160&gt;=_xlfn.PERCENTILE.INC($D$2:$D$288,0.4),3,D160&gt;=_xlfn.PERCENTILE.INC($D$2:$D$288,0.2),2,TRUE,1)</f>
        <v>1</v>
      </c>
      <c r="H160" s="1">
        <f t="shared" si="2"/>
        <v>3</v>
      </c>
      <c r="I160" s="1" t="str" cm="1">
        <f t="array" ref="I160">_xlfn.IFS(H160&gt;=13,"Best Customers",H160&gt;=10,"Loyal Customers",H160&gt;=7,"Potential Loyal Customers",H160&gt;=4,"Need Attention",TRUE,"At Risk")</f>
        <v>At Risk</v>
      </c>
    </row>
    <row r="161" spans="1:9">
      <c r="A161" s="1" t="s">
        <v>26</v>
      </c>
      <c r="B161" s="9">
        <v>42.590868055602201</v>
      </c>
      <c r="C161" s="1">
        <v>3</v>
      </c>
      <c r="D161" s="4">
        <v>58.05</v>
      </c>
      <c r="E161" s="1" cm="1">
        <f t="array" ref="E161">_xlfn.IFS(B161&lt;=_xlfn.PERCENTILE.INC($B$2:$B$288,0.2),5,B161&lt;=_xlfn.PERCENTILE.INC($B$2:$B$288,0.4),4,B161&lt;=_xlfn.PERCENTILE.INC($B$2:$B$288,0.6),3,B161&lt;=_xlfn.PERCENTILE.INC($B$2:$B$288,0.8),2,TRUE,1)</f>
        <v>4</v>
      </c>
      <c r="F161" s="1" cm="1">
        <f t="array" ref="F161">_xlfn.IFS(C161&gt;=_xlfn.PERCENTILE.INC($C$2:$C$288,0.8),5,C161&gt;=_xlfn.PERCENTILE.INC($C$2:$C$288,0.6),4,C161&gt;=_xlfn.PERCENTILE.INC($C$2:$C$288,0.4),3,C161&gt;=_xlfn.PERCENTILE.INC($C$2:$C$288,0.2),2,TRUE,1)</f>
        <v>3</v>
      </c>
      <c r="G161" s="1" cm="1">
        <f t="array" ref="G161">_xlfn.IFS(D161&gt;=_xlfn.PERCENTILE.INC($D$2:$D$288,0.8),5,D161&gt;=_xlfn.PERCENTILE.INC($D$2:$D$288,0.6),4,D161&gt;=_xlfn.PERCENTILE.INC($D$2:$D$288,0.4),3,D161&gt;=_xlfn.PERCENTILE.INC($D$2:$D$288,0.2),2,TRUE,1)</f>
        <v>3</v>
      </c>
      <c r="H161" s="1">
        <f t="shared" si="2"/>
        <v>10</v>
      </c>
      <c r="I161" s="1" t="str" cm="1">
        <f t="array" ref="I161">_xlfn.IFS(H161&gt;=13,"Best Customers",H161&gt;=10,"Loyal Customers",H161&gt;=7,"Potential Loyal Customers",H161&gt;=4,"Need Attention",TRUE,"At Risk")</f>
        <v>Loyal Customers</v>
      </c>
    </row>
    <row r="162" spans="1:9">
      <c r="A162" s="1" t="s">
        <v>767</v>
      </c>
      <c r="B162" s="9">
        <v>322.59086805560202</v>
      </c>
      <c r="C162" s="1">
        <v>2</v>
      </c>
      <c r="D162" s="4">
        <v>53.61</v>
      </c>
      <c r="E162" s="1" cm="1">
        <f t="array" ref="E162">_xlfn.IFS(B162&lt;=_xlfn.PERCENTILE.INC($B$2:$B$288,0.2),5,B162&lt;=_xlfn.PERCENTILE.INC($B$2:$B$288,0.4),4,B162&lt;=_xlfn.PERCENTILE.INC($B$2:$B$288,0.6),3,B162&lt;=_xlfn.PERCENTILE.INC($B$2:$B$288,0.8),2,TRUE,1)</f>
        <v>1</v>
      </c>
      <c r="F162" s="1" cm="1">
        <f t="array" ref="F162">_xlfn.IFS(C162&gt;=_xlfn.PERCENTILE.INC($C$2:$C$288,0.8),5,C162&gt;=_xlfn.PERCENTILE.INC($C$2:$C$288,0.6),4,C162&gt;=_xlfn.PERCENTILE.INC($C$2:$C$288,0.4),3,C162&gt;=_xlfn.PERCENTILE.INC($C$2:$C$288,0.2),2,TRUE,1)</f>
        <v>2</v>
      </c>
      <c r="G162" s="1" cm="1">
        <f t="array" ref="G162">_xlfn.IFS(D162&gt;=_xlfn.PERCENTILE.INC($D$2:$D$288,0.8),5,D162&gt;=_xlfn.PERCENTILE.INC($D$2:$D$288,0.6),4,D162&gt;=_xlfn.PERCENTILE.INC($D$2:$D$288,0.4),3,D162&gt;=_xlfn.PERCENTILE.INC($D$2:$D$288,0.2),2,TRUE,1)</f>
        <v>3</v>
      </c>
      <c r="H162" s="1">
        <f t="shared" si="2"/>
        <v>6</v>
      </c>
      <c r="I162" s="1" t="str" cm="1">
        <f t="array" ref="I162">_xlfn.IFS(H162&gt;=13,"Best Customers",H162&gt;=10,"Loyal Customers",H162&gt;=7,"Potential Loyal Customers",H162&gt;=4,"Need Attention",TRUE,"At Risk")</f>
        <v>Need Attention</v>
      </c>
    </row>
    <row r="163" spans="1:9">
      <c r="A163" s="1" t="s">
        <v>628</v>
      </c>
      <c r="B163" s="9">
        <v>30.590868055602201</v>
      </c>
      <c r="C163" s="1">
        <v>4</v>
      </c>
      <c r="D163" s="4">
        <v>62.59</v>
      </c>
      <c r="E163" s="1" cm="1">
        <f t="array" ref="E163">_xlfn.IFS(B163&lt;=_xlfn.PERCENTILE.INC($B$2:$B$288,0.2),5,B163&lt;=_xlfn.PERCENTILE.INC($B$2:$B$288,0.4),4,B163&lt;=_xlfn.PERCENTILE.INC($B$2:$B$288,0.6),3,B163&lt;=_xlfn.PERCENTILE.INC($B$2:$B$288,0.8),2,TRUE,1)</f>
        <v>4</v>
      </c>
      <c r="F163" s="1" cm="1">
        <f t="array" ref="F163">_xlfn.IFS(C163&gt;=_xlfn.PERCENTILE.INC($C$2:$C$288,0.8),5,C163&gt;=_xlfn.PERCENTILE.INC($C$2:$C$288,0.6),4,C163&gt;=_xlfn.PERCENTILE.INC($C$2:$C$288,0.4),3,C163&gt;=_xlfn.PERCENTILE.INC($C$2:$C$288,0.2),2,TRUE,1)</f>
        <v>4</v>
      </c>
      <c r="G163" s="1" cm="1">
        <f t="array" ref="G163">_xlfn.IFS(D163&gt;=_xlfn.PERCENTILE.INC($D$2:$D$288,0.8),5,D163&gt;=_xlfn.PERCENTILE.INC($D$2:$D$288,0.6),4,D163&gt;=_xlfn.PERCENTILE.INC($D$2:$D$288,0.4),3,D163&gt;=_xlfn.PERCENTILE.INC($D$2:$D$288,0.2),2,TRUE,1)</f>
        <v>4</v>
      </c>
      <c r="H163" s="1">
        <f t="shared" si="2"/>
        <v>12</v>
      </c>
      <c r="I163" s="1" t="str" cm="1">
        <f t="array" ref="I163">_xlfn.IFS(H163&gt;=13,"Best Customers",H163&gt;=10,"Loyal Customers",H163&gt;=7,"Potential Loyal Customers",H163&gt;=4,"Need Attention",TRUE,"At Risk")</f>
        <v>Loyal Customers</v>
      </c>
    </row>
    <row r="164" spans="1:9">
      <c r="A164" s="1" t="s">
        <v>209</v>
      </c>
      <c r="B164" s="9">
        <v>77.590868055602201</v>
      </c>
      <c r="C164" s="1">
        <v>3</v>
      </c>
      <c r="D164" s="4">
        <v>37.590000000000003</v>
      </c>
      <c r="E164" s="1" cm="1">
        <f t="array" ref="E164">_xlfn.IFS(B164&lt;=_xlfn.PERCENTILE.INC($B$2:$B$288,0.2),5,B164&lt;=_xlfn.PERCENTILE.INC($B$2:$B$288,0.4),4,B164&lt;=_xlfn.PERCENTILE.INC($B$2:$B$288,0.6),3,B164&lt;=_xlfn.PERCENTILE.INC($B$2:$B$288,0.8),2,TRUE,1)</f>
        <v>3</v>
      </c>
      <c r="F164" s="1" cm="1">
        <f t="array" ref="F164">_xlfn.IFS(C164&gt;=_xlfn.PERCENTILE.INC($C$2:$C$288,0.8),5,C164&gt;=_xlfn.PERCENTILE.INC($C$2:$C$288,0.6),4,C164&gt;=_xlfn.PERCENTILE.INC($C$2:$C$288,0.4),3,C164&gt;=_xlfn.PERCENTILE.INC($C$2:$C$288,0.2),2,TRUE,1)</f>
        <v>3</v>
      </c>
      <c r="G164" s="1" cm="1">
        <f t="array" ref="G164">_xlfn.IFS(D164&gt;=_xlfn.PERCENTILE.INC($D$2:$D$288,0.8),5,D164&gt;=_xlfn.PERCENTILE.INC($D$2:$D$288,0.6),4,D164&gt;=_xlfn.PERCENTILE.INC($D$2:$D$288,0.4),3,D164&gt;=_xlfn.PERCENTILE.INC($D$2:$D$288,0.2),2,TRUE,1)</f>
        <v>2</v>
      </c>
      <c r="H164" s="1">
        <f t="shared" si="2"/>
        <v>8</v>
      </c>
      <c r="I164" s="1" t="str" cm="1">
        <f t="array" ref="I164">_xlfn.IFS(H164&gt;=13,"Best Customers",H164&gt;=10,"Loyal Customers",H164&gt;=7,"Potential Loyal Customers",H164&gt;=4,"Need Attention",TRUE,"At Risk")</f>
        <v>Potential Loyal Customers</v>
      </c>
    </row>
    <row r="165" spans="1:9">
      <c r="A165" s="1" t="s">
        <v>22</v>
      </c>
      <c r="B165" s="9">
        <v>54.590868055602201</v>
      </c>
      <c r="C165" s="1">
        <v>3</v>
      </c>
      <c r="D165" s="4">
        <v>61.62</v>
      </c>
      <c r="E165" s="1" cm="1">
        <f t="array" ref="E165">_xlfn.IFS(B165&lt;=_xlfn.PERCENTILE.INC($B$2:$B$288,0.2),5,B165&lt;=_xlfn.PERCENTILE.INC($B$2:$B$288,0.4),4,B165&lt;=_xlfn.PERCENTILE.INC($B$2:$B$288,0.6),3,B165&lt;=_xlfn.PERCENTILE.INC($B$2:$B$288,0.8),2,TRUE,1)</f>
        <v>4</v>
      </c>
      <c r="F165" s="1" cm="1">
        <f t="array" ref="F165">_xlfn.IFS(C165&gt;=_xlfn.PERCENTILE.INC($C$2:$C$288,0.8),5,C165&gt;=_xlfn.PERCENTILE.INC($C$2:$C$288,0.6),4,C165&gt;=_xlfn.PERCENTILE.INC($C$2:$C$288,0.4),3,C165&gt;=_xlfn.PERCENTILE.INC($C$2:$C$288,0.2),2,TRUE,1)</f>
        <v>3</v>
      </c>
      <c r="G165" s="1" cm="1">
        <f t="array" ref="G165">_xlfn.IFS(D165&gt;=_xlfn.PERCENTILE.INC($D$2:$D$288,0.8),5,D165&gt;=_xlfn.PERCENTILE.INC($D$2:$D$288,0.6),4,D165&gt;=_xlfn.PERCENTILE.INC($D$2:$D$288,0.4),3,D165&gt;=_xlfn.PERCENTILE.INC($D$2:$D$288,0.2),2,TRUE,1)</f>
        <v>4</v>
      </c>
      <c r="H165" s="1">
        <f t="shared" si="2"/>
        <v>11</v>
      </c>
      <c r="I165" s="1" t="str" cm="1">
        <f t="array" ref="I165">_xlfn.IFS(H165&gt;=13,"Best Customers",H165&gt;=10,"Loyal Customers",H165&gt;=7,"Potential Loyal Customers",H165&gt;=4,"Need Attention",TRUE,"At Risk")</f>
        <v>Loyal Customers</v>
      </c>
    </row>
    <row r="166" spans="1:9">
      <c r="A166" s="1" t="s">
        <v>173</v>
      </c>
      <c r="B166" s="9">
        <v>27.590868055602201</v>
      </c>
      <c r="C166" s="1">
        <v>4</v>
      </c>
      <c r="D166" s="4">
        <v>52.51</v>
      </c>
      <c r="E166" s="1" cm="1">
        <f t="array" ref="E166">_xlfn.IFS(B166&lt;=_xlfn.PERCENTILE.INC($B$2:$B$288,0.2),5,B166&lt;=_xlfn.PERCENTILE.INC($B$2:$B$288,0.4),4,B166&lt;=_xlfn.PERCENTILE.INC($B$2:$B$288,0.6),3,B166&lt;=_xlfn.PERCENTILE.INC($B$2:$B$288,0.8),2,TRUE,1)</f>
        <v>4</v>
      </c>
      <c r="F166" s="1" cm="1">
        <f t="array" ref="F166">_xlfn.IFS(C166&gt;=_xlfn.PERCENTILE.INC($C$2:$C$288,0.8),5,C166&gt;=_xlfn.PERCENTILE.INC($C$2:$C$288,0.6),4,C166&gt;=_xlfn.PERCENTILE.INC($C$2:$C$288,0.4),3,C166&gt;=_xlfn.PERCENTILE.INC($C$2:$C$288,0.2),2,TRUE,1)</f>
        <v>4</v>
      </c>
      <c r="G166" s="1" cm="1">
        <f t="array" ref="G166">_xlfn.IFS(D166&gt;=_xlfn.PERCENTILE.INC($D$2:$D$288,0.8),5,D166&gt;=_xlfn.PERCENTILE.INC($D$2:$D$288,0.6),4,D166&gt;=_xlfn.PERCENTILE.INC($D$2:$D$288,0.4),3,D166&gt;=_xlfn.PERCENTILE.INC($D$2:$D$288,0.2),2,TRUE,1)</f>
        <v>3</v>
      </c>
      <c r="H166" s="1">
        <f t="shared" si="2"/>
        <v>11</v>
      </c>
      <c r="I166" s="1" t="str" cm="1">
        <f t="array" ref="I166">_xlfn.IFS(H166&gt;=13,"Best Customers",H166&gt;=10,"Loyal Customers",H166&gt;=7,"Potential Loyal Customers",H166&gt;=4,"Need Attention",TRUE,"At Risk")</f>
        <v>Loyal Customers</v>
      </c>
    </row>
    <row r="167" spans="1:9">
      <c r="A167" s="1" t="s">
        <v>896</v>
      </c>
      <c r="B167" s="9">
        <v>38.590868055602201</v>
      </c>
      <c r="C167" s="1">
        <v>2</v>
      </c>
      <c r="D167" s="4">
        <v>55.1</v>
      </c>
      <c r="E167" s="1" cm="1">
        <f t="array" ref="E167">_xlfn.IFS(B167&lt;=_xlfn.PERCENTILE.INC($B$2:$B$288,0.2),5,B167&lt;=_xlfn.PERCENTILE.INC($B$2:$B$288,0.4),4,B167&lt;=_xlfn.PERCENTILE.INC($B$2:$B$288,0.6),3,B167&lt;=_xlfn.PERCENTILE.INC($B$2:$B$288,0.8),2,TRUE,1)</f>
        <v>4</v>
      </c>
      <c r="F167" s="1" cm="1">
        <f t="array" ref="F167">_xlfn.IFS(C167&gt;=_xlfn.PERCENTILE.INC($C$2:$C$288,0.8),5,C167&gt;=_xlfn.PERCENTILE.INC($C$2:$C$288,0.6),4,C167&gt;=_xlfn.PERCENTILE.INC($C$2:$C$288,0.4),3,C167&gt;=_xlfn.PERCENTILE.INC($C$2:$C$288,0.2),2,TRUE,1)</f>
        <v>2</v>
      </c>
      <c r="G167" s="1" cm="1">
        <f t="array" ref="G167">_xlfn.IFS(D167&gt;=_xlfn.PERCENTILE.INC($D$2:$D$288,0.8),5,D167&gt;=_xlfn.PERCENTILE.INC($D$2:$D$288,0.6),4,D167&gt;=_xlfn.PERCENTILE.INC($D$2:$D$288,0.4),3,D167&gt;=_xlfn.PERCENTILE.INC($D$2:$D$288,0.2),2,TRUE,1)</f>
        <v>3</v>
      </c>
      <c r="H167" s="1">
        <f t="shared" si="2"/>
        <v>9</v>
      </c>
      <c r="I167" s="1" t="str" cm="1">
        <f t="array" ref="I167">_xlfn.IFS(H167&gt;=13,"Best Customers",H167&gt;=10,"Loyal Customers",H167&gt;=7,"Potential Loyal Customers",H167&gt;=4,"Need Attention",TRUE,"At Risk")</f>
        <v>Potential Loyal Customers</v>
      </c>
    </row>
    <row r="168" spans="1:9">
      <c r="A168" s="1" t="s">
        <v>321</v>
      </c>
      <c r="B168" s="9">
        <v>30.590868055602201</v>
      </c>
      <c r="C168" s="1">
        <v>6</v>
      </c>
      <c r="D168" s="4">
        <v>86.22</v>
      </c>
      <c r="E168" s="1" cm="1">
        <f t="array" ref="E168">_xlfn.IFS(B168&lt;=_xlfn.PERCENTILE.INC($B$2:$B$288,0.2),5,B168&lt;=_xlfn.PERCENTILE.INC($B$2:$B$288,0.4),4,B168&lt;=_xlfn.PERCENTILE.INC($B$2:$B$288,0.6),3,B168&lt;=_xlfn.PERCENTILE.INC($B$2:$B$288,0.8),2,TRUE,1)</f>
        <v>4</v>
      </c>
      <c r="F168" s="1" cm="1">
        <f t="array" ref="F168">_xlfn.IFS(C168&gt;=_xlfn.PERCENTILE.INC($C$2:$C$288,0.8),5,C168&gt;=_xlfn.PERCENTILE.INC($C$2:$C$288,0.6),4,C168&gt;=_xlfn.PERCENTILE.INC($C$2:$C$288,0.4),3,C168&gt;=_xlfn.PERCENTILE.INC($C$2:$C$288,0.2),2,TRUE,1)</f>
        <v>5</v>
      </c>
      <c r="G168" s="1" cm="1">
        <f t="array" ref="G168">_xlfn.IFS(D168&gt;=_xlfn.PERCENTILE.INC($D$2:$D$288,0.8),5,D168&gt;=_xlfn.PERCENTILE.INC($D$2:$D$288,0.6),4,D168&gt;=_xlfn.PERCENTILE.INC($D$2:$D$288,0.4),3,D168&gt;=_xlfn.PERCENTILE.INC($D$2:$D$288,0.2),2,TRUE,1)</f>
        <v>4</v>
      </c>
      <c r="H168" s="1">
        <f t="shared" si="2"/>
        <v>13</v>
      </c>
      <c r="I168" s="1" t="str" cm="1">
        <f t="array" ref="I168">_xlfn.IFS(H168&gt;=13,"Best Customers",H168&gt;=10,"Loyal Customers",H168&gt;=7,"Potential Loyal Customers",H168&gt;=4,"Need Attention",TRUE,"At Risk")</f>
        <v>Best Customers</v>
      </c>
    </row>
    <row r="169" spans="1:9">
      <c r="A169" s="1" t="s">
        <v>601</v>
      </c>
      <c r="B169" s="9">
        <v>40.590868055602201</v>
      </c>
      <c r="C169" s="1">
        <v>4</v>
      </c>
      <c r="D169" s="4">
        <v>107.85</v>
      </c>
      <c r="E169" s="1" cm="1">
        <f t="array" ref="E169">_xlfn.IFS(B169&lt;=_xlfn.PERCENTILE.INC($B$2:$B$288,0.2),5,B169&lt;=_xlfn.PERCENTILE.INC($B$2:$B$288,0.4),4,B169&lt;=_xlfn.PERCENTILE.INC($B$2:$B$288,0.6),3,B169&lt;=_xlfn.PERCENTILE.INC($B$2:$B$288,0.8),2,TRUE,1)</f>
        <v>4</v>
      </c>
      <c r="F169" s="1" cm="1">
        <f t="array" ref="F169">_xlfn.IFS(C169&gt;=_xlfn.PERCENTILE.INC($C$2:$C$288,0.8),5,C169&gt;=_xlfn.PERCENTILE.INC($C$2:$C$288,0.6),4,C169&gt;=_xlfn.PERCENTILE.INC($C$2:$C$288,0.4),3,C169&gt;=_xlfn.PERCENTILE.INC($C$2:$C$288,0.2),2,TRUE,1)</f>
        <v>4</v>
      </c>
      <c r="G169" s="1" cm="1">
        <f t="array" ref="G169">_xlfn.IFS(D169&gt;=_xlfn.PERCENTILE.INC($D$2:$D$288,0.8),5,D169&gt;=_xlfn.PERCENTILE.INC($D$2:$D$288,0.6),4,D169&gt;=_xlfn.PERCENTILE.INC($D$2:$D$288,0.4),3,D169&gt;=_xlfn.PERCENTILE.INC($D$2:$D$288,0.2),2,TRUE,1)</f>
        <v>5</v>
      </c>
      <c r="H169" s="1">
        <f t="shared" si="2"/>
        <v>13</v>
      </c>
      <c r="I169" s="1" t="str" cm="1">
        <f t="array" ref="I169">_xlfn.IFS(H169&gt;=13,"Best Customers",H169&gt;=10,"Loyal Customers",H169&gt;=7,"Potential Loyal Customers",H169&gt;=4,"Need Attention",TRUE,"At Risk")</f>
        <v>Best Customers</v>
      </c>
    </row>
    <row r="170" spans="1:9">
      <c r="A170" s="1" t="s">
        <v>279</v>
      </c>
      <c r="B170" s="9">
        <v>15.590868055602201</v>
      </c>
      <c r="C170" s="1">
        <v>5</v>
      </c>
      <c r="D170" s="4">
        <v>122.91</v>
      </c>
      <c r="E170" s="1" cm="1">
        <f t="array" ref="E170">_xlfn.IFS(B170&lt;=_xlfn.PERCENTILE.INC($B$2:$B$288,0.2),5,B170&lt;=_xlfn.PERCENTILE.INC($B$2:$B$288,0.4),4,B170&lt;=_xlfn.PERCENTILE.INC($B$2:$B$288,0.6),3,B170&lt;=_xlfn.PERCENTILE.INC($B$2:$B$288,0.8),2,TRUE,1)</f>
        <v>5</v>
      </c>
      <c r="F170" s="1" cm="1">
        <f t="array" ref="F170">_xlfn.IFS(C170&gt;=_xlfn.PERCENTILE.INC($C$2:$C$288,0.8),5,C170&gt;=_xlfn.PERCENTILE.INC($C$2:$C$288,0.6),4,C170&gt;=_xlfn.PERCENTILE.INC($C$2:$C$288,0.4),3,C170&gt;=_xlfn.PERCENTILE.INC($C$2:$C$288,0.2),2,TRUE,1)</f>
        <v>5</v>
      </c>
      <c r="G170" s="1" cm="1">
        <f t="array" ref="G170">_xlfn.IFS(D170&gt;=_xlfn.PERCENTILE.INC($D$2:$D$288,0.8),5,D170&gt;=_xlfn.PERCENTILE.INC($D$2:$D$288,0.6),4,D170&gt;=_xlfn.PERCENTILE.INC($D$2:$D$288,0.4),3,D170&gt;=_xlfn.PERCENTILE.INC($D$2:$D$288,0.2),2,TRUE,1)</f>
        <v>5</v>
      </c>
      <c r="H170" s="1">
        <f t="shared" si="2"/>
        <v>15</v>
      </c>
      <c r="I170" s="1" t="str" cm="1">
        <f t="array" ref="I170">_xlfn.IFS(H170&gt;=13,"Best Customers",H170&gt;=10,"Loyal Customers",H170&gt;=7,"Potential Loyal Customers",H170&gt;=4,"Need Attention",TRUE,"At Risk")</f>
        <v>Best Customers</v>
      </c>
    </row>
    <row r="171" spans="1:9">
      <c r="A171" s="1" t="s">
        <v>12</v>
      </c>
      <c r="B171" s="9">
        <v>94.590868055602201</v>
      </c>
      <c r="C171" s="1">
        <v>5</v>
      </c>
      <c r="D171" s="4">
        <v>114.12</v>
      </c>
      <c r="E171" s="1" cm="1">
        <f t="array" ref="E171">_xlfn.IFS(B171&lt;=_xlfn.PERCENTILE.INC($B$2:$B$288,0.2),5,B171&lt;=_xlfn.PERCENTILE.INC($B$2:$B$288,0.4),4,B171&lt;=_xlfn.PERCENTILE.INC($B$2:$B$288,0.6),3,B171&lt;=_xlfn.PERCENTILE.INC($B$2:$B$288,0.8),2,TRUE,1)</f>
        <v>3</v>
      </c>
      <c r="F171" s="1" cm="1">
        <f t="array" ref="F171">_xlfn.IFS(C171&gt;=_xlfn.PERCENTILE.INC($C$2:$C$288,0.8),5,C171&gt;=_xlfn.PERCENTILE.INC($C$2:$C$288,0.6),4,C171&gt;=_xlfn.PERCENTILE.INC($C$2:$C$288,0.4),3,C171&gt;=_xlfn.PERCENTILE.INC($C$2:$C$288,0.2),2,TRUE,1)</f>
        <v>5</v>
      </c>
      <c r="G171" s="1" cm="1">
        <f t="array" ref="G171">_xlfn.IFS(D171&gt;=_xlfn.PERCENTILE.INC($D$2:$D$288,0.8),5,D171&gt;=_xlfn.PERCENTILE.INC($D$2:$D$288,0.6),4,D171&gt;=_xlfn.PERCENTILE.INC($D$2:$D$288,0.4),3,D171&gt;=_xlfn.PERCENTILE.INC($D$2:$D$288,0.2),2,TRUE,1)</f>
        <v>5</v>
      </c>
      <c r="H171" s="1">
        <f t="shared" si="2"/>
        <v>13</v>
      </c>
      <c r="I171" s="1" t="str" cm="1">
        <f t="array" ref="I171">_xlfn.IFS(H171&gt;=13,"Best Customers",H171&gt;=10,"Loyal Customers",H171&gt;=7,"Potential Loyal Customers",H171&gt;=4,"Need Attention",TRUE,"At Risk")</f>
        <v>Best Customers</v>
      </c>
    </row>
    <row r="172" spans="1:9">
      <c r="A172" s="1" t="s">
        <v>100</v>
      </c>
      <c r="B172" s="9">
        <v>36.590868055602201</v>
      </c>
      <c r="C172" s="1">
        <v>5</v>
      </c>
      <c r="D172" s="4">
        <v>55.54</v>
      </c>
      <c r="E172" s="1" cm="1">
        <f t="array" ref="E172">_xlfn.IFS(B172&lt;=_xlfn.PERCENTILE.INC($B$2:$B$288,0.2),5,B172&lt;=_xlfn.PERCENTILE.INC($B$2:$B$288,0.4),4,B172&lt;=_xlfn.PERCENTILE.INC($B$2:$B$288,0.6),3,B172&lt;=_xlfn.PERCENTILE.INC($B$2:$B$288,0.8),2,TRUE,1)</f>
        <v>4</v>
      </c>
      <c r="F172" s="1" cm="1">
        <f t="array" ref="F172">_xlfn.IFS(C172&gt;=_xlfn.PERCENTILE.INC($C$2:$C$288,0.8),5,C172&gt;=_xlfn.PERCENTILE.INC($C$2:$C$288,0.6),4,C172&gt;=_xlfn.PERCENTILE.INC($C$2:$C$288,0.4),3,C172&gt;=_xlfn.PERCENTILE.INC($C$2:$C$288,0.2),2,TRUE,1)</f>
        <v>5</v>
      </c>
      <c r="G172" s="1" cm="1">
        <f t="array" ref="G172">_xlfn.IFS(D172&gt;=_xlfn.PERCENTILE.INC($D$2:$D$288,0.8),5,D172&gt;=_xlfn.PERCENTILE.INC($D$2:$D$288,0.6),4,D172&gt;=_xlfn.PERCENTILE.INC($D$2:$D$288,0.4),3,D172&gt;=_xlfn.PERCENTILE.INC($D$2:$D$288,0.2),2,TRUE,1)</f>
        <v>3</v>
      </c>
      <c r="H172" s="1">
        <f t="shared" si="2"/>
        <v>12</v>
      </c>
      <c r="I172" s="1" t="str" cm="1">
        <f t="array" ref="I172">_xlfn.IFS(H172&gt;=13,"Best Customers",H172&gt;=10,"Loyal Customers",H172&gt;=7,"Potential Loyal Customers",H172&gt;=4,"Need Attention",TRUE,"At Risk")</f>
        <v>Loyal Customers</v>
      </c>
    </row>
    <row r="173" spans="1:9">
      <c r="A173" s="1" t="s">
        <v>275</v>
      </c>
      <c r="B173" s="9">
        <v>329.59086805560202</v>
      </c>
      <c r="C173" s="1">
        <v>1</v>
      </c>
      <c r="D173" s="4">
        <v>12.12</v>
      </c>
      <c r="E173" s="1" cm="1">
        <f t="array" ref="E173">_xlfn.IFS(B173&lt;=_xlfn.PERCENTILE.INC($B$2:$B$288,0.2),5,B173&lt;=_xlfn.PERCENTILE.INC($B$2:$B$288,0.4),4,B173&lt;=_xlfn.PERCENTILE.INC($B$2:$B$288,0.6),3,B173&lt;=_xlfn.PERCENTILE.INC($B$2:$B$288,0.8),2,TRUE,1)</f>
        <v>1</v>
      </c>
      <c r="F173" s="1" cm="1">
        <f t="array" ref="F173">_xlfn.IFS(C173&gt;=_xlfn.PERCENTILE.INC($C$2:$C$288,0.8),5,C173&gt;=_xlfn.PERCENTILE.INC($C$2:$C$288,0.6),4,C173&gt;=_xlfn.PERCENTILE.INC($C$2:$C$288,0.4),3,C173&gt;=_xlfn.PERCENTILE.INC($C$2:$C$288,0.2),2,TRUE,1)</f>
        <v>1</v>
      </c>
      <c r="G173" s="1" cm="1">
        <f t="array" ref="G173">_xlfn.IFS(D173&gt;=_xlfn.PERCENTILE.INC($D$2:$D$288,0.8),5,D173&gt;=_xlfn.PERCENTILE.INC($D$2:$D$288,0.6),4,D173&gt;=_xlfn.PERCENTILE.INC($D$2:$D$288,0.4),3,D173&gt;=_xlfn.PERCENTILE.INC($D$2:$D$288,0.2),2,TRUE,1)</f>
        <v>1</v>
      </c>
      <c r="H173" s="1">
        <f t="shared" si="2"/>
        <v>3</v>
      </c>
      <c r="I173" s="1" t="str" cm="1">
        <f t="array" ref="I173">_xlfn.IFS(H173&gt;=13,"Best Customers",H173&gt;=10,"Loyal Customers",H173&gt;=7,"Potential Loyal Customers",H173&gt;=4,"Need Attention",TRUE,"At Risk")</f>
        <v>At Risk</v>
      </c>
    </row>
    <row r="174" spans="1:9">
      <c r="A174" s="1" t="s">
        <v>502</v>
      </c>
      <c r="B174" s="9">
        <v>182.59086805560199</v>
      </c>
      <c r="C174" s="1">
        <v>4</v>
      </c>
      <c r="D174" s="4">
        <v>34.24</v>
      </c>
      <c r="E174" s="1" cm="1">
        <f t="array" ref="E174">_xlfn.IFS(B174&lt;=_xlfn.PERCENTILE.INC($B$2:$B$288,0.2),5,B174&lt;=_xlfn.PERCENTILE.INC($B$2:$B$288,0.4),4,B174&lt;=_xlfn.PERCENTILE.INC($B$2:$B$288,0.6),3,B174&lt;=_xlfn.PERCENTILE.INC($B$2:$B$288,0.8),2,TRUE,1)</f>
        <v>1</v>
      </c>
      <c r="F174" s="1" cm="1">
        <f t="array" ref="F174">_xlfn.IFS(C174&gt;=_xlfn.PERCENTILE.INC($C$2:$C$288,0.8),5,C174&gt;=_xlfn.PERCENTILE.INC($C$2:$C$288,0.6),4,C174&gt;=_xlfn.PERCENTILE.INC($C$2:$C$288,0.4),3,C174&gt;=_xlfn.PERCENTILE.INC($C$2:$C$288,0.2),2,TRUE,1)</f>
        <v>4</v>
      </c>
      <c r="G174" s="1" cm="1">
        <f t="array" ref="G174">_xlfn.IFS(D174&gt;=_xlfn.PERCENTILE.INC($D$2:$D$288,0.8),5,D174&gt;=_xlfn.PERCENTILE.INC($D$2:$D$288,0.6),4,D174&gt;=_xlfn.PERCENTILE.INC($D$2:$D$288,0.4),3,D174&gt;=_xlfn.PERCENTILE.INC($D$2:$D$288,0.2),2,TRUE,1)</f>
        <v>2</v>
      </c>
      <c r="H174" s="1">
        <f t="shared" si="2"/>
        <v>7</v>
      </c>
      <c r="I174" s="1" t="str" cm="1">
        <f t="array" ref="I174">_xlfn.IFS(H174&gt;=13,"Best Customers",H174&gt;=10,"Loyal Customers",H174&gt;=7,"Potential Loyal Customers",H174&gt;=4,"Need Attention",TRUE,"At Risk")</f>
        <v>Potential Loyal Customers</v>
      </c>
    </row>
    <row r="175" spans="1:9">
      <c r="A175" s="1" t="s">
        <v>238</v>
      </c>
      <c r="B175" s="9">
        <v>108.590868055602</v>
      </c>
      <c r="C175" s="1">
        <v>3</v>
      </c>
      <c r="D175" s="4">
        <v>33.46</v>
      </c>
      <c r="E175" s="1" cm="1">
        <f t="array" ref="E175">_xlfn.IFS(B175&lt;=_xlfn.PERCENTILE.INC($B$2:$B$288,0.2),5,B175&lt;=_xlfn.PERCENTILE.INC($B$2:$B$288,0.4),4,B175&lt;=_xlfn.PERCENTILE.INC($B$2:$B$288,0.6),3,B175&lt;=_xlfn.PERCENTILE.INC($B$2:$B$288,0.8),2,TRUE,1)</f>
        <v>2</v>
      </c>
      <c r="F175" s="1" cm="1">
        <f t="array" ref="F175">_xlfn.IFS(C175&gt;=_xlfn.PERCENTILE.INC($C$2:$C$288,0.8),5,C175&gt;=_xlfn.PERCENTILE.INC($C$2:$C$288,0.6),4,C175&gt;=_xlfn.PERCENTILE.INC($C$2:$C$288,0.4),3,C175&gt;=_xlfn.PERCENTILE.INC($C$2:$C$288,0.2),2,TRUE,1)</f>
        <v>3</v>
      </c>
      <c r="G175" s="1" cm="1">
        <f t="array" ref="G175">_xlfn.IFS(D175&gt;=_xlfn.PERCENTILE.INC($D$2:$D$288,0.8),5,D175&gt;=_xlfn.PERCENTILE.INC($D$2:$D$288,0.6),4,D175&gt;=_xlfn.PERCENTILE.INC($D$2:$D$288,0.4),3,D175&gt;=_xlfn.PERCENTILE.INC($D$2:$D$288,0.2),2,TRUE,1)</f>
        <v>2</v>
      </c>
      <c r="H175" s="1">
        <f t="shared" si="2"/>
        <v>7</v>
      </c>
      <c r="I175" s="1" t="str" cm="1">
        <f t="array" ref="I175">_xlfn.IFS(H175&gt;=13,"Best Customers",H175&gt;=10,"Loyal Customers",H175&gt;=7,"Potential Loyal Customers",H175&gt;=4,"Need Attention",TRUE,"At Risk")</f>
        <v>Potential Loyal Customers</v>
      </c>
    </row>
    <row r="176" spans="1:9">
      <c r="A176" s="1" t="s">
        <v>618</v>
      </c>
      <c r="B176" s="9">
        <v>79.590868055602201</v>
      </c>
      <c r="C176" s="1">
        <v>2</v>
      </c>
      <c r="D176" s="4">
        <v>76.81</v>
      </c>
      <c r="E176" s="1" cm="1">
        <f t="array" ref="E176">_xlfn.IFS(B176&lt;=_xlfn.PERCENTILE.INC($B$2:$B$288,0.2),5,B176&lt;=_xlfn.PERCENTILE.INC($B$2:$B$288,0.4),4,B176&lt;=_xlfn.PERCENTILE.INC($B$2:$B$288,0.6),3,B176&lt;=_xlfn.PERCENTILE.INC($B$2:$B$288,0.8),2,TRUE,1)</f>
        <v>3</v>
      </c>
      <c r="F176" s="1" cm="1">
        <f t="array" ref="F176">_xlfn.IFS(C176&gt;=_xlfn.PERCENTILE.INC($C$2:$C$288,0.8),5,C176&gt;=_xlfn.PERCENTILE.INC($C$2:$C$288,0.6),4,C176&gt;=_xlfn.PERCENTILE.INC($C$2:$C$288,0.4),3,C176&gt;=_xlfn.PERCENTILE.INC($C$2:$C$288,0.2),2,TRUE,1)</f>
        <v>2</v>
      </c>
      <c r="G176" s="1" cm="1">
        <f t="array" ref="G176">_xlfn.IFS(D176&gt;=_xlfn.PERCENTILE.INC($D$2:$D$288,0.8),5,D176&gt;=_xlfn.PERCENTILE.INC($D$2:$D$288,0.6),4,D176&gt;=_xlfn.PERCENTILE.INC($D$2:$D$288,0.4),3,D176&gt;=_xlfn.PERCENTILE.INC($D$2:$D$288,0.2),2,TRUE,1)</f>
        <v>4</v>
      </c>
      <c r="H176" s="1">
        <f t="shared" si="2"/>
        <v>9</v>
      </c>
      <c r="I176" s="1" t="str" cm="1">
        <f t="array" ref="I176">_xlfn.IFS(H176&gt;=13,"Best Customers",H176&gt;=10,"Loyal Customers",H176&gt;=7,"Potential Loyal Customers",H176&gt;=4,"Need Attention",TRUE,"At Risk")</f>
        <v>Potential Loyal Customers</v>
      </c>
    </row>
    <row r="177" spans="1:9">
      <c r="A177" s="1" t="s">
        <v>163</v>
      </c>
      <c r="B177" s="9">
        <v>152.59086805560199</v>
      </c>
      <c r="C177" s="1">
        <v>2</v>
      </c>
      <c r="D177" s="4">
        <v>9.69</v>
      </c>
      <c r="E177" s="1" cm="1">
        <f t="array" ref="E177">_xlfn.IFS(B177&lt;=_xlfn.PERCENTILE.INC($B$2:$B$288,0.2),5,B177&lt;=_xlfn.PERCENTILE.INC($B$2:$B$288,0.4),4,B177&lt;=_xlfn.PERCENTILE.INC($B$2:$B$288,0.6),3,B177&lt;=_xlfn.PERCENTILE.INC($B$2:$B$288,0.8),2,TRUE,1)</f>
        <v>2</v>
      </c>
      <c r="F177" s="1" cm="1">
        <f t="array" ref="F177">_xlfn.IFS(C177&gt;=_xlfn.PERCENTILE.INC($C$2:$C$288,0.8),5,C177&gt;=_xlfn.PERCENTILE.INC($C$2:$C$288,0.6),4,C177&gt;=_xlfn.PERCENTILE.INC($C$2:$C$288,0.4),3,C177&gt;=_xlfn.PERCENTILE.INC($C$2:$C$288,0.2),2,TRUE,1)</f>
        <v>2</v>
      </c>
      <c r="G177" s="1" cm="1">
        <f t="array" ref="G177">_xlfn.IFS(D177&gt;=_xlfn.PERCENTILE.INC($D$2:$D$288,0.8),5,D177&gt;=_xlfn.PERCENTILE.INC($D$2:$D$288,0.6),4,D177&gt;=_xlfn.PERCENTILE.INC($D$2:$D$288,0.4),3,D177&gt;=_xlfn.PERCENTILE.INC($D$2:$D$288,0.2),2,TRUE,1)</f>
        <v>1</v>
      </c>
      <c r="H177" s="1">
        <f t="shared" si="2"/>
        <v>5</v>
      </c>
      <c r="I177" s="1" t="str" cm="1">
        <f t="array" ref="I177">_xlfn.IFS(H177&gt;=13,"Best Customers",H177&gt;=10,"Loyal Customers",H177&gt;=7,"Potential Loyal Customers",H177&gt;=4,"Need Attention",TRUE,"At Risk")</f>
        <v>Need Attention</v>
      </c>
    </row>
    <row r="178" spans="1:9">
      <c r="A178" s="1" t="s">
        <v>645</v>
      </c>
      <c r="B178" s="9">
        <v>13.590868055602201</v>
      </c>
      <c r="C178" s="1">
        <v>2</v>
      </c>
      <c r="D178" s="4">
        <v>32.299999999999997</v>
      </c>
      <c r="E178" s="1" cm="1">
        <f t="array" ref="E178">_xlfn.IFS(B178&lt;=_xlfn.PERCENTILE.INC($B$2:$B$288,0.2),5,B178&lt;=_xlfn.PERCENTILE.INC($B$2:$B$288,0.4),4,B178&lt;=_xlfn.PERCENTILE.INC($B$2:$B$288,0.6),3,B178&lt;=_xlfn.PERCENTILE.INC($B$2:$B$288,0.8),2,TRUE,1)</f>
        <v>5</v>
      </c>
      <c r="F178" s="1" cm="1">
        <f t="array" ref="F178">_xlfn.IFS(C178&gt;=_xlfn.PERCENTILE.INC($C$2:$C$288,0.8),5,C178&gt;=_xlfn.PERCENTILE.INC($C$2:$C$288,0.6),4,C178&gt;=_xlfn.PERCENTILE.INC($C$2:$C$288,0.4),3,C178&gt;=_xlfn.PERCENTILE.INC($C$2:$C$288,0.2),2,TRUE,1)</f>
        <v>2</v>
      </c>
      <c r="G178" s="1" cm="1">
        <f t="array" ref="G178">_xlfn.IFS(D178&gt;=_xlfn.PERCENTILE.INC($D$2:$D$288,0.8),5,D178&gt;=_xlfn.PERCENTILE.INC($D$2:$D$288,0.6),4,D178&gt;=_xlfn.PERCENTILE.INC($D$2:$D$288,0.4),3,D178&gt;=_xlfn.PERCENTILE.INC($D$2:$D$288,0.2),2,TRUE,1)</f>
        <v>2</v>
      </c>
      <c r="H178" s="1">
        <f t="shared" si="2"/>
        <v>9</v>
      </c>
      <c r="I178" s="1" t="str" cm="1">
        <f t="array" ref="I178">_xlfn.IFS(H178&gt;=13,"Best Customers",H178&gt;=10,"Loyal Customers",H178&gt;=7,"Potential Loyal Customers",H178&gt;=4,"Need Attention",TRUE,"At Risk")</f>
        <v>Potential Loyal Customers</v>
      </c>
    </row>
    <row r="179" spans="1:9">
      <c r="A179" s="1" t="s">
        <v>752</v>
      </c>
      <c r="B179" s="9">
        <v>200.59086805560199</v>
      </c>
      <c r="C179" s="1">
        <v>2</v>
      </c>
      <c r="D179" s="4">
        <v>17.36</v>
      </c>
      <c r="E179" s="1" cm="1">
        <f t="array" ref="E179">_xlfn.IFS(B179&lt;=_xlfn.PERCENTILE.INC($B$2:$B$288,0.2),5,B179&lt;=_xlfn.PERCENTILE.INC($B$2:$B$288,0.4),4,B179&lt;=_xlfn.PERCENTILE.INC($B$2:$B$288,0.6),3,B179&lt;=_xlfn.PERCENTILE.INC($B$2:$B$288,0.8),2,TRUE,1)</f>
        <v>1</v>
      </c>
      <c r="F179" s="1" cm="1">
        <f t="array" ref="F179">_xlfn.IFS(C179&gt;=_xlfn.PERCENTILE.INC($C$2:$C$288,0.8),5,C179&gt;=_xlfn.PERCENTILE.INC($C$2:$C$288,0.6),4,C179&gt;=_xlfn.PERCENTILE.INC($C$2:$C$288,0.4),3,C179&gt;=_xlfn.PERCENTILE.INC($C$2:$C$288,0.2),2,TRUE,1)</f>
        <v>2</v>
      </c>
      <c r="G179" s="1" cm="1">
        <f t="array" ref="G179">_xlfn.IFS(D179&gt;=_xlfn.PERCENTILE.INC($D$2:$D$288,0.8),5,D179&gt;=_xlfn.PERCENTILE.INC($D$2:$D$288,0.6),4,D179&gt;=_xlfn.PERCENTILE.INC($D$2:$D$288,0.4),3,D179&gt;=_xlfn.PERCENTILE.INC($D$2:$D$288,0.2),2,TRUE,1)</f>
        <v>1</v>
      </c>
      <c r="H179" s="1">
        <f t="shared" si="2"/>
        <v>4</v>
      </c>
      <c r="I179" s="1" t="str" cm="1">
        <f t="array" ref="I179">_xlfn.IFS(H179&gt;=13,"Best Customers",H179&gt;=10,"Loyal Customers",H179&gt;=7,"Potential Loyal Customers",H179&gt;=4,"Need Attention",TRUE,"At Risk")</f>
        <v>Need Attention</v>
      </c>
    </row>
    <row r="180" spans="1:9">
      <c r="A180" s="1" t="s">
        <v>514</v>
      </c>
      <c r="B180" s="9">
        <v>127.590868055602</v>
      </c>
      <c r="C180" s="1">
        <v>2</v>
      </c>
      <c r="D180" s="4">
        <v>33.97</v>
      </c>
      <c r="E180" s="1" cm="1">
        <f t="array" ref="E180">_xlfn.IFS(B180&lt;=_xlfn.PERCENTILE.INC($B$2:$B$288,0.2),5,B180&lt;=_xlfn.PERCENTILE.INC($B$2:$B$288,0.4),4,B180&lt;=_xlfn.PERCENTILE.INC($B$2:$B$288,0.6),3,B180&lt;=_xlfn.PERCENTILE.INC($B$2:$B$288,0.8),2,TRUE,1)</f>
        <v>2</v>
      </c>
      <c r="F180" s="1" cm="1">
        <f t="array" ref="F180">_xlfn.IFS(C180&gt;=_xlfn.PERCENTILE.INC($C$2:$C$288,0.8),5,C180&gt;=_xlfn.PERCENTILE.INC($C$2:$C$288,0.6),4,C180&gt;=_xlfn.PERCENTILE.INC($C$2:$C$288,0.4),3,C180&gt;=_xlfn.PERCENTILE.INC($C$2:$C$288,0.2),2,TRUE,1)</f>
        <v>2</v>
      </c>
      <c r="G180" s="1" cm="1">
        <f t="array" ref="G180">_xlfn.IFS(D180&gt;=_xlfn.PERCENTILE.INC($D$2:$D$288,0.8),5,D180&gt;=_xlfn.PERCENTILE.INC($D$2:$D$288,0.6),4,D180&gt;=_xlfn.PERCENTILE.INC($D$2:$D$288,0.4),3,D180&gt;=_xlfn.PERCENTILE.INC($D$2:$D$288,0.2),2,TRUE,1)</f>
        <v>2</v>
      </c>
      <c r="H180" s="1">
        <f t="shared" si="2"/>
        <v>6</v>
      </c>
      <c r="I180" s="1" t="str" cm="1">
        <f t="array" ref="I180">_xlfn.IFS(H180&gt;=13,"Best Customers",H180&gt;=10,"Loyal Customers",H180&gt;=7,"Potential Loyal Customers",H180&gt;=4,"Need Attention",TRUE,"At Risk")</f>
        <v>Need Attention</v>
      </c>
    </row>
    <row r="181" spans="1:9">
      <c r="A181" s="1" t="s">
        <v>396</v>
      </c>
      <c r="B181" s="9">
        <v>40.590868055602201</v>
      </c>
      <c r="C181" s="1">
        <v>5</v>
      </c>
      <c r="D181" s="4">
        <v>60.47</v>
      </c>
      <c r="E181" s="1" cm="1">
        <f t="array" ref="E181">_xlfn.IFS(B181&lt;=_xlfn.PERCENTILE.INC($B$2:$B$288,0.2),5,B181&lt;=_xlfn.PERCENTILE.INC($B$2:$B$288,0.4),4,B181&lt;=_xlfn.PERCENTILE.INC($B$2:$B$288,0.6),3,B181&lt;=_xlfn.PERCENTILE.INC($B$2:$B$288,0.8),2,TRUE,1)</f>
        <v>4</v>
      </c>
      <c r="F181" s="1" cm="1">
        <f t="array" ref="F181">_xlfn.IFS(C181&gt;=_xlfn.PERCENTILE.INC($C$2:$C$288,0.8),5,C181&gt;=_xlfn.PERCENTILE.INC($C$2:$C$288,0.6),4,C181&gt;=_xlfn.PERCENTILE.INC($C$2:$C$288,0.4),3,C181&gt;=_xlfn.PERCENTILE.INC($C$2:$C$288,0.2),2,TRUE,1)</f>
        <v>5</v>
      </c>
      <c r="G181" s="1" cm="1">
        <f t="array" ref="G181">_xlfn.IFS(D181&gt;=_xlfn.PERCENTILE.INC($D$2:$D$288,0.8),5,D181&gt;=_xlfn.PERCENTILE.INC($D$2:$D$288,0.6),4,D181&gt;=_xlfn.PERCENTILE.INC($D$2:$D$288,0.4),3,D181&gt;=_xlfn.PERCENTILE.INC($D$2:$D$288,0.2),2,TRUE,1)</f>
        <v>3</v>
      </c>
      <c r="H181" s="1">
        <f t="shared" si="2"/>
        <v>12</v>
      </c>
      <c r="I181" s="1" t="str" cm="1">
        <f t="array" ref="I181">_xlfn.IFS(H181&gt;=13,"Best Customers",H181&gt;=10,"Loyal Customers",H181&gt;=7,"Potential Loyal Customers",H181&gt;=4,"Need Attention",TRUE,"At Risk")</f>
        <v>Loyal Customers</v>
      </c>
    </row>
    <row r="182" spans="1:9">
      <c r="A182" s="1" t="s">
        <v>296</v>
      </c>
      <c r="B182" s="9">
        <v>257.59086805560202</v>
      </c>
      <c r="C182" s="1">
        <v>1</v>
      </c>
      <c r="D182" s="4">
        <v>17.079999999999998</v>
      </c>
      <c r="E182" s="1" cm="1">
        <f t="array" ref="E182">_xlfn.IFS(B182&lt;=_xlfn.PERCENTILE.INC($B$2:$B$288,0.2),5,B182&lt;=_xlfn.PERCENTILE.INC($B$2:$B$288,0.4),4,B182&lt;=_xlfn.PERCENTILE.INC($B$2:$B$288,0.6),3,B182&lt;=_xlfn.PERCENTILE.INC($B$2:$B$288,0.8),2,TRUE,1)</f>
        <v>1</v>
      </c>
      <c r="F182" s="1" cm="1">
        <f t="array" ref="F182">_xlfn.IFS(C182&gt;=_xlfn.PERCENTILE.INC($C$2:$C$288,0.8),5,C182&gt;=_xlfn.PERCENTILE.INC($C$2:$C$288,0.6),4,C182&gt;=_xlfn.PERCENTILE.INC($C$2:$C$288,0.4),3,C182&gt;=_xlfn.PERCENTILE.INC($C$2:$C$288,0.2),2,TRUE,1)</f>
        <v>1</v>
      </c>
      <c r="G182" s="1" cm="1">
        <f t="array" ref="G182">_xlfn.IFS(D182&gt;=_xlfn.PERCENTILE.INC($D$2:$D$288,0.8),5,D182&gt;=_xlfn.PERCENTILE.INC($D$2:$D$288,0.6),4,D182&gt;=_xlfn.PERCENTILE.INC($D$2:$D$288,0.4),3,D182&gt;=_xlfn.PERCENTILE.INC($D$2:$D$288,0.2),2,TRUE,1)</f>
        <v>1</v>
      </c>
      <c r="H182" s="1">
        <f t="shared" si="2"/>
        <v>3</v>
      </c>
      <c r="I182" s="1" t="str" cm="1">
        <f t="array" ref="I182">_xlfn.IFS(H182&gt;=13,"Best Customers",H182&gt;=10,"Loyal Customers",H182&gt;=7,"Potential Loyal Customers",H182&gt;=4,"Need Attention",TRUE,"At Risk")</f>
        <v>At Risk</v>
      </c>
    </row>
    <row r="183" spans="1:9">
      <c r="A183" s="1" t="s">
        <v>491</v>
      </c>
      <c r="B183" s="9">
        <v>171.59086805560199</v>
      </c>
      <c r="C183" s="1">
        <v>1</v>
      </c>
      <c r="D183" s="4">
        <v>33.44</v>
      </c>
      <c r="E183" s="1" cm="1">
        <f t="array" ref="E183">_xlfn.IFS(B183&lt;=_xlfn.PERCENTILE.INC($B$2:$B$288,0.2),5,B183&lt;=_xlfn.PERCENTILE.INC($B$2:$B$288,0.4),4,B183&lt;=_xlfn.PERCENTILE.INC($B$2:$B$288,0.6),3,B183&lt;=_xlfn.PERCENTILE.INC($B$2:$B$288,0.8),2,TRUE,1)</f>
        <v>2</v>
      </c>
      <c r="F183" s="1" cm="1">
        <f t="array" ref="F183">_xlfn.IFS(C183&gt;=_xlfn.PERCENTILE.INC($C$2:$C$288,0.8),5,C183&gt;=_xlfn.PERCENTILE.INC($C$2:$C$288,0.6),4,C183&gt;=_xlfn.PERCENTILE.INC($C$2:$C$288,0.4),3,C183&gt;=_xlfn.PERCENTILE.INC($C$2:$C$288,0.2),2,TRUE,1)</f>
        <v>1</v>
      </c>
      <c r="G183" s="1" cm="1">
        <f t="array" ref="G183">_xlfn.IFS(D183&gt;=_xlfn.PERCENTILE.INC($D$2:$D$288,0.8),5,D183&gt;=_xlfn.PERCENTILE.INC($D$2:$D$288,0.6),4,D183&gt;=_xlfn.PERCENTILE.INC($D$2:$D$288,0.4),3,D183&gt;=_xlfn.PERCENTILE.INC($D$2:$D$288,0.2),2,TRUE,1)</f>
        <v>2</v>
      </c>
      <c r="H183" s="1">
        <f t="shared" si="2"/>
        <v>5</v>
      </c>
      <c r="I183" s="1" t="str" cm="1">
        <f t="array" ref="I183">_xlfn.IFS(H183&gt;=13,"Best Customers",H183&gt;=10,"Loyal Customers",H183&gt;=7,"Potential Loyal Customers",H183&gt;=4,"Need Attention",TRUE,"At Risk")</f>
        <v>Need Attention</v>
      </c>
    </row>
    <row r="184" spans="1:9">
      <c r="A184" s="1" t="s">
        <v>774</v>
      </c>
      <c r="B184" s="9">
        <v>63.590868055602201</v>
      </c>
      <c r="C184" s="1">
        <v>1</v>
      </c>
      <c r="D184" s="4">
        <v>16.14</v>
      </c>
      <c r="E184" s="1" cm="1">
        <f t="array" ref="E184">_xlfn.IFS(B184&lt;=_xlfn.PERCENTILE.INC($B$2:$B$288,0.2),5,B184&lt;=_xlfn.PERCENTILE.INC($B$2:$B$288,0.4),4,B184&lt;=_xlfn.PERCENTILE.INC($B$2:$B$288,0.6),3,B184&lt;=_xlfn.PERCENTILE.INC($B$2:$B$288,0.8),2,TRUE,1)</f>
        <v>3</v>
      </c>
      <c r="F184" s="1" cm="1">
        <f t="array" ref="F184">_xlfn.IFS(C184&gt;=_xlfn.PERCENTILE.INC($C$2:$C$288,0.8),5,C184&gt;=_xlfn.PERCENTILE.INC($C$2:$C$288,0.6),4,C184&gt;=_xlfn.PERCENTILE.INC($C$2:$C$288,0.4),3,C184&gt;=_xlfn.PERCENTILE.INC($C$2:$C$288,0.2),2,TRUE,1)</f>
        <v>1</v>
      </c>
      <c r="G184" s="1" cm="1">
        <f t="array" ref="G184">_xlfn.IFS(D184&gt;=_xlfn.PERCENTILE.INC($D$2:$D$288,0.8),5,D184&gt;=_xlfn.PERCENTILE.INC($D$2:$D$288,0.6),4,D184&gt;=_xlfn.PERCENTILE.INC($D$2:$D$288,0.4),3,D184&gt;=_xlfn.PERCENTILE.INC($D$2:$D$288,0.2),2,TRUE,1)</f>
        <v>1</v>
      </c>
      <c r="H184" s="1">
        <f t="shared" si="2"/>
        <v>5</v>
      </c>
      <c r="I184" s="1" t="str" cm="1">
        <f t="array" ref="I184">_xlfn.IFS(H184&gt;=13,"Best Customers",H184&gt;=10,"Loyal Customers",H184&gt;=7,"Potential Loyal Customers",H184&gt;=4,"Need Attention",TRUE,"At Risk")</f>
        <v>Need Attention</v>
      </c>
    </row>
    <row r="185" spans="1:9">
      <c r="A185" s="1" t="s">
        <v>823</v>
      </c>
      <c r="B185" s="9">
        <v>46.590868055602201</v>
      </c>
      <c r="C185" s="1">
        <v>3</v>
      </c>
      <c r="D185" s="4">
        <v>33.65</v>
      </c>
      <c r="E185" s="1" cm="1">
        <f t="array" ref="E185">_xlfn.IFS(B185&lt;=_xlfn.PERCENTILE.INC($B$2:$B$288,0.2),5,B185&lt;=_xlfn.PERCENTILE.INC($B$2:$B$288,0.4),4,B185&lt;=_xlfn.PERCENTILE.INC($B$2:$B$288,0.6),3,B185&lt;=_xlfn.PERCENTILE.INC($B$2:$B$288,0.8),2,TRUE,1)</f>
        <v>4</v>
      </c>
      <c r="F185" s="1" cm="1">
        <f t="array" ref="F185">_xlfn.IFS(C185&gt;=_xlfn.PERCENTILE.INC($C$2:$C$288,0.8),5,C185&gt;=_xlfn.PERCENTILE.INC($C$2:$C$288,0.6),4,C185&gt;=_xlfn.PERCENTILE.INC($C$2:$C$288,0.4),3,C185&gt;=_xlfn.PERCENTILE.INC($C$2:$C$288,0.2),2,TRUE,1)</f>
        <v>3</v>
      </c>
      <c r="G185" s="1" cm="1">
        <f t="array" ref="G185">_xlfn.IFS(D185&gt;=_xlfn.PERCENTILE.INC($D$2:$D$288,0.8),5,D185&gt;=_xlfn.PERCENTILE.INC($D$2:$D$288,0.6),4,D185&gt;=_xlfn.PERCENTILE.INC($D$2:$D$288,0.4),3,D185&gt;=_xlfn.PERCENTILE.INC($D$2:$D$288,0.2),2,TRUE,1)</f>
        <v>2</v>
      </c>
      <c r="H185" s="1">
        <f t="shared" si="2"/>
        <v>9</v>
      </c>
      <c r="I185" s="1" t="str" cm="1">
        <f t="array" ref="I185">_xlfn.IFS(H185&gt;=13,"Best Customers",H185&gt;=10,"Loyal Customers",H185&gt;=7,"Potential Loyal Customers",H185&gt;=4,"Need Attention",TRUE,"At Risk")</f>
        <v>Potential Loyal Customers</v>
      </c>
    </row>
    <row r="186" spans="1:9">
      <c r="A186" s="1" t="s">
        <v>500</v>
      </c>
      <c r="B186" s="9">
        <v>132.59086805560199</v>
      </c>
      <c r="C186" s="1">
        <v>4</v>
      </c>
      <c r="D186" s="4">
        <v>58.1</v>
      </c>
      <c r="E186" s="1" cm="1">
        <f t="array" ref="E186">_xlfn.IFS(B186&lt;=_xlfn.PERCENTILE.INC($B$2:$B$288,0.2),5,B186&lt;=_xlfn.PERCENTILE.INC($B$2:$B$288,0.4),4,B186&lt;=_xlfn.PERCENTILE.INC($B$2:$B$288,0.6),3,B186&lt;=_xlfn.PERCENTILE.INC($B$2:$B$288,0.8),2,TRUE,1)</f>
        <v>2</v>
      </c>
      <c r="F186" s="1" cm="1">
        <f t="array" ref="F186">_xlfn.IFS(C186&gt;=_xlfn.PERCENTILE.INC($C$2:$C$288,0.8),5,C186&gt;=_xlfn.PERCENTILE.INC($C$2:$C$288,0.6),4,C186&gt;=_xlfn.PERCENTILE.INC($C$2:$C$288,0.4),3,C186&gt;=_xlfn.PERCENTILE.INC($C$2:$C$288,0.2),2,TRUE,1)</f>
        <v>4</v>
      </c>
      <c r="G186" s="1" cm="1">
        <f t="array" ref="G186">_xlfn.IFS(D186&gt;=_xlfn.PERCENTILE.INC($D$2:$D$288,0.8),5,D186&gt;=_xlfn.PERCENTILE.INC($D$2:$D$288,0.6),4,D186&gt;=_xlfn.PERCENTILE.INC($D$2:$D$288,0.4),3,D186&gt;=_xlfn.PERCENTILE.INC($D$2:$D$288,0.2),2,TRUE,1)</f>
        <v>3</v>
      </c>
      <c r="H186" s="1">
        <f t="shared" si="2"/>
        <v>9</v>
      </c>
      <c r="I186" s="1" t="str" cm="1">
        <f t="array" ref="I186">_xlfn.IFS(H186&gt;=13,"Best Customers",H186&gt;=10,"Loyal Customers",H186&gt;=7,"Potential Loyal Customers",H186&gt;=4,"Need Attention",TRUE,"At Risk")</f>
        <v>Potential Loyal Customers</v>
      </c>
    </row>
    <row r="187" spans="1:9">
      <c r="A187" s="1" t="s">
        <v>323</v>
      </c>
      <c r="B187" s="9">
        <v>222.59086805560199</v>
      </c>
      <c r="C187" s="1">
        <v>2</v>
      </c>
      <c r="D187" s="4">
        <v>19.809999999999999</v>
      </c>
      <c r="E187" s="1" cm="1">
        <f t="array" ref="E187">_xlfn.IFS(B187&lt;=_xlfn.PERCENTILE.INC($B$2:$B$288,0.2),5,B187&lt;=_xlfn.PERCENTILE.INC($B$2:$B$288,0.4),4,B187&lt;=_xlfn.PERCENTILE.INC($B$2:$B$288,0.6),3,B187&lt;=_xlfn.PERCENTILE.INC($B$2:$B$288,0.8),2,TRUE,1)</f>
        <v>1</v>
      </c>
      <c r="F187" s="1" cm="1">
        <f t="array" ref="F187">_xlfn.IFS(C187&gt;=_xlfn.PERCENTILE.INC($C$2:$C$288,0.8),5,C187&gt;=_xlfn.PERCENTILE.INC($C$2:$C$288,0.6),4,C187&gt;=_xlfn.PERCENTILE.INC($C$2:$C$288,0.4),3,C187&gt;=_xlfn.PERCENTILE.INC($C$2:$C$288,0.2),2,TRUE,1)</f>
        <v>2</v>
      </c>
      <c r="G187" s="1" cm="1">
        <f t="array" ref="G187">_xlfn.IFS(D187&gt;=_xlfn.PERCENTILE.INC($D$2:$D$288,0.8),5,D187&gt;=_xlfn.PERCENTILE.INC($D$2:$D$288,0.6),4,D187&gt;=_xlfn.PERCENTILE.INC($D$2:$D$288,0.4),3,D187&gt;=_xlfn.PERCENTILE.INC($D$2:$D$288,0.2),2,TRUE,1)</f>
        <v>1</v>
      </c>
      <c r="H187" s="1">
        <f t="shared" si="2"/>
        <v>4</v>
      </c>
      <c r="I187" s="1" t="str" cm="1">
        <f t="array" ref="I187">_xlfn.IFS(H187&gt;=13,"Best Customers",H187&gt;=10,"Loyal Customers",H187&gt;=7,"Potential Loyal Customers",H187&gt;=4,"Need Attention",TRUE,"At Risk")</f>
        <v>Need Attention</v>
      </c>
    </row>
    <row r="188" spans="1:9">
      <c r="A188" s="1" t="s">
        <v>407</v>
      </c>
      <c r="B188" s="9">
        <v>8.5908680556021899</v>
      </c>
      <c r="C188" s="1">
        <v>4</v>
      </c>
      <c r="D188" s="4">
        <v>52.35</v>
      </c>
      <c r="E188" s="1" cm="1">
        <f t="array" ref="E188">_xlfn.IFS(B188&lt;=_xlfn.PERCENTILE.INC($B$2:$B$288,0.2),5,B188&lt;=_xlfn.PERCENTILE.INC($B$2:$B$288,0.4),4,B188&lt;=_xlfn.PERCENTILE.INC($B$2:$B$288,0.6),3,B188&lt;=_xlfn.PERCENTILE.INC($B$2:$B$288,0.8),2,TRUE,1)</f>
        <v>5</v>
      </c>
      <c r="F188" s="1" cm="1">
        <f t="array" ref="F188">_xlfn.IFS(C188&gt;=_xlfn.PERCENTILE.INC($C$2:$C$288,0.8),5,C188&gt;=_xlfn.PERCENTILE.INC($C$2:$C$288,0.6),4,C188&gt;=_xlfn.PERCENTILE.INC($C$2:$C$288,0.4),3,C188&gt;=_xlfn.PERCENTILE.INC($C$2:$C$288,0.2),2,TRUE,1)</f>
        <v>4</v>
      </c>
      <c r="G188" s="1" cm="1">
        <f t="array" ref="G188">_xlfn.IFS(D188&gt;=_xlfn.PERCENTILE.INC($D$2:$D$288,0.8),5,D188&gt;=_xlfn.PERCENTILE.INC($D$2:$D$288,0.6),4,D188&gt;=_xlfn.PERCENTILE.INC($D$2:$D$288,0.4),3,D188&gt;=_xlfn.PERCENTILE.INC($D$2:$D$288,0.2),2,TRUE,1)</f>
        <v>3</v>
      </c>
      <c r="H188" s="1">
        <f t="shared" si="2"/>
        <v>12</v>
      </c>
      <c r="I188" s="1" t="str" cm="1">
        <f t="array" ref="I188">_xlfn.IFS(H188&gt;=13,"Best Customers",H188&gt;=10,"Loyal Customers",H188&gt;=7,"Potential Loyal Customers",H188&gt;=4,"Need Attention",TRUE,"At Risk")</f>
        <v>Loyal Customers</v>
      </c>
    </row>
    <row r="189" spans="1:9">
      <c r="A189" s="1" t="s">
        <v>145</v>
      </c>
      <c r="B189" s="9">
        <v>148.59086805560199</v>
      </c>
      <c r="C189" s="1">
        <v>2</v>
      </c>
      <c r="D189" s="4">
        <v>23.36</v>
      </c>
      <c r="E189" s="1" cm="1">
        <f t="array" ref="E189">_xlfn.IFS(B189&lt;=_xlfn.PERCENTILE.INC($B$2:$B$288,0.2),5,B189&lt;=_xlfn.PERCENTILE.INC($B$2:$B$288,0.4),4,B189&lt;=_xlfn.PERCENTILE.INC($B$2:$B$288,0.6),3,B189&lt;=_xlfn.PERCENTILE.INC($B$2:$B$288,0.8),2,TRUE,1)</f>
        <v>2</v>
      </c>
      <c r="F189" s="1" cm="1">
        <f t="array" ref="F189">_xlfn.IFS(C189&gt;=_xlfn.PERCENTILE.INC($C$2:$C$288,0.8),5,C189&gt;=_xlfn.PERCENTILE.INC($C$2:$C$288,0.6),4,C189&gt;=_xlfn.PERCENTILE.INC($C$2:$C$288,0.4),3,C189&gt;=_xlfn.PERCENTILE.INC($C$2:$C$288,0.2),2,TRUE,1)</f>
        <v>2</v>
      </c>
      <c r="G189" s="1" cm="1">
        <f t="array" ref="G189">_xlfn.IFS(D189&gt;=_xlfn.PERCENTILE.INC($D$2:$D$288,0.8),5,D189&gt;=_xlfn.PERCENTILE.INC($D$2:$D$288,0.6),4,D189&gt;=_xlfn.PERCENTILE.INC($D$2:$D$288,0.4),3,D189&gt;=_xlfn.PERCENTILE.INC($D$2:$D$288,0.2),2,TRUE,1)</f>
        <v>1</v>
      </c>
      <c r="H189" s="1">
        <f t="shared" si="2"/>
        <v>5</v>
      </c>
      <c r="I189" s="1" t="str" cm="1">
        <f t="array" ref="I189">_xlfn.IFS(H189&gt;=13,"Best Customers",H189&gt;=10,"Loyal Customers",H189&gt;=7,"Potential Loyal Customers",H189&gt;=4,"Need Attention",TRUE,"At Risk")</f>
        <v>Need Attention</v>
      </c>
    </row>
    <row r="190" spans="1:9">
      <c r="A190" s="1" t="s">
        <v>402</v>
      </c>
      <c r="B190" s="9">
        <v>125.590868055602</v>
      </c>
      <c r="C190" s="1">
        <v>1</v>
      </c>
      <c r="D190" s="4">
        <v>4.26</v>
      </c>
      <c r="E190" s="1" cm="1">
        <f t="array" ref="E190">_xlfn.IFS(B190&lt;=_xlfn.PERCENTILE.INC($B$2:$B$288,0.2),5,B190&lt;=_xlfn.PERCENTILE.INC($B$2:$B$288,0.4),4,B190&lt;=_xlfn.PERCENTILE.INC($B$2:$B$288,0.6),3,B190&lt;=_xlfn.PERCENTILE.INC($B$2:$B$288,0.8),2,TRUE,1)</f>
        <v>2</v>
      </c>
      <c r="F190" s="1" cm="1">
        <f t="array" ref="F190">_xlfn.IFS(C190&gt;=_xlfn.PERCENTILE.INC($C$2:$C$288,0.8),5,C190&gt;=_xlfn.PERCENTILE.INC($C$2:$C$288,0.6),4,C190&gt;=_xlfn.PERCENTILE.INC($C$2:$C$288,0.4),3,C190&gt;=_xlfn.PERCENTILE.INC($C$2:$C$288,0.2),2,TRUE,1)</f>
        <v>1</v>
      </c>
      <c r="G190" s="1" cm="1">
        <f t="array" ref="G190">_xlfn.IFS(D190&gt;=_xlfn.PERCENTILE.INC($D$2:$D$288,0.8),5,D190&gt;=_xlfn.PERCENTILE.INC($D$2:$D$288,0.6),4,D190&gt;=_xlfn.PERCENTILE.INC($D$2:$D$288,0.4),3,D190&gt;=_xlfn.PERCENTILE.INC($D$2:$D$288,0.2),2,TRUE,1)</f>
        <v>1</v>
      </c>
      <c r="H190" s="1">
        <f t="shared" si="2"/>
        <v>4</v>
      </c>
      <c r="I190" s="1" t="str" cm="1">
        <f t="array" ref="I190">_xlfn.IFS(H190&gt;=13,"Best Customers",H190&gt;=10,"Loyal Customers",H190&gt;=7,"Potential Loyal Customers",H190&gt;=4,"Need Attention",TRUE,"At Risk")</f>
        <v>Need Attention</v>
      </c>
    </row>
    <row r="191" spans="1:9">
      <c r="A191" s="1" t="s">
        <v>120</v>
      </c>
      <c r="B191" s="9">
        <v>42.590868055602201</v>
      </c>
      <c r="C191" s="1">
        <v>5</v>
      </c>
      <c r="D191" s="4">
        <v>61.88</v>
      </c>
      <c r="E191" s="1" cm="1">
        <f t="array" ref="E191">_xlfn.IFS(B191&lt;=_xlfn.PERCENTILE.INC($B$2:$B$288,0.2),5,B191&lt;=_xlfn.PERCENTILE.INC($B$2:$B$288,0.4),4,B191&lt;=_xlfn.PERCENTILE.INC($B$2:$B$288,0.6),3,B191&lt;=_xlfn.PERCENTILE.INC($B$2:$B$288,0.8),2,TRUE,1)</f>
        <v>4</v>
      </c>
      <c r="F191" s="1" cm="1">
        <f t="array" ref="F191">_xlfn.IFS(C191&gt;=_xlfn.PERCENTILE.INC($C$2:$C$288,0.8),5,C191&gt;=_xlfn.PERCENTILE.INC($C$2:$C$288,0.6),4,C191&gt;=_xlfn.PERCENTILE.INC($C$2:$C$288,0.4),3,C191&gt;=_xlfn.PERCENTILE.INC($C$2:$C$288,0.2),2,TRUE,1)</f>
        <v>5</v>
      </c>
      <c r="G191" s="1" cm="1">
        <f t="array" ref="G191">_xlfn.IFS(D191&gt;=_xlfn.PERCENTILE.INC($D$2:$D$288,0.8),5,D191&gt;=_xlfn.PERCENTILE.INC($D$2:$D$288,0.6),4,D191&gt;=_xlfn.PERCENTILE.INC($D$2:$D$288,0.4),3,D191&gt;=_xlfn.PERCENTILE.INC($D$2:$D$288,0.2),2,TRUE,1)</f>
        <v>4</v>
      </c>
      <c r="H191" s="1">
        <f t="shared" si="2"/>
        <v>13</v>
      </c>
      <c r="I191" s="1" t="str" cm="1">
        <f t="array" ref="I191">_xlfn.IFS(H191&gt;=13,"Best Customers",H191&gt;=10,"Loyal Customers",H191&gt;=7,"Potential Loyal Customers",H191&gt;=4,"Need Attention",TRUE,"At Risk")</f>
        <v>Best Customers</v>
      </c>
    </row>
    <row r="192" spans="1:9">
      <c r="A192" s="1" t="s">
        <v>592</v>
      </c>
      <c r="B192" s="9">
        <v>53.590868055602201</v>
      </c>
      <c r="C192" s="1">
        <v>4</v>
      </c>
      <c r="D192" s="4">
        <v>41.64</v>
      </c>
      <c r="E192" s="1" cm="1">
        <f t="array" ref="E192">_xlfn.IFS(B192&lt;=_xlfn.PERCENTILE.INC($B$2:$B$288,0.2),5,B192&lt;=_xlfn.PERCENTILE.INC($B$2:$B$288,0.4),4,B192&lt;=_xlfn.PERCENTILE.INC($B$2:$B$288,0.6),3,B192&lt;=_xlfn.PERCENTILE.INC($B$2:$B$288,0.8),2,TRUE,1)</f>
        <v>4</v>
      </c>
      <c r="F192" s="1" cm="1">
        <f t="array" ref="F192">_xlfn.IFS(C192&gt;=_xlfn.PERCENTILE.INC($C$2:$C$288,0.8),5,C192&gt;=_xlfn.PERCENTILE.INC($C$2:$C$288,0.6),4,C192&gt;=_xlfn.PERCENTILE.INC($C$2:$C$288,0.4),3,C192&gt;=_xlfn.PERCENTILE.INC($C$2:$C$288,0.2),2,TRUE,1)</f>
        <v>4</v>
      </c>
      <c r="G192" s="1" cm="1">
        <f t="array" ref="G192">_xlfn.IFS(D192&gt;=_xlfn.PERCENTILE.INC($D$2:$D$288,0.8),5,D192&gt;=_xlfn.PERCENTILE.INC($D$2:$D$288,0.6),4,D192&gt;=_xlfn.PERCENTILE.INC($D$2:$D$288,0.4),3,D192&gt;=_xlfn.PERCENTILE.INC($D$2:$D$288,0.2),2,TRUE,1)</f>
        <v>2</v>
      </c>
      <c r="H192" s="1">
        <f t="shared" si="2"/>
        <v>10</v>
      </c>
      <c r="I192" s="1" t="str" cm="1">
        <f t="array" ref="I192">_xlfn.IFS(H192&gt;=13,"Best Customers",H192&gt;=10,"Loyal Customers",H192&gt;=7,"Potential Loyal Customers",H192&gt;=4,"Need Attention",TRUE,"At Risk")</f>
        <v>Loyal Customers</v>
      </c>
    </row>
    <row r="193" spans="1:9">
      <c r="A193" s="1" t="s">
        <v>197</v>
      </c>
      <c r="B193" s="9">
        <v>5.5908680556021899</v>
      </c>
      <c r="C193" s="1">
        <v>2</v>
      </c>
      <c r="D193" s="4">
        <v>45.68</v>
      </c>
      <c r="E193" s="1" cm="1">
        <f t="array" ref="E193">_xlfn.IFS(B193&lt;=_xlfn.PERCENTILE.INC($B$2:$B$288,0.2),5,B193&lt;=_xlfn.PERCENTILE.INC($B$2:$B$288,0.4),4,B193&lt;=_xlfn.PERCENTILE.INC($B$2:$B$288,0.6),3,B193&lt;=_xlfn.PERCENTILE.INC($B$2:$B$288,0.8),2,TRUE,1)</f>
        <v>5</v>
      </c>
      <c r="F193" s="1" cm="1">
        <f t="array" ref="F193">_xlfn.IFS(C193&gt;=_xlfn.PERCENTILE.INC($C$2:$C$288,0.8),5,C193&gt;=_xlfn.PERCENTILE.INC($C$2:$C$288,0.6),4,C193&gt;=_xlfn.PERCENTILE.INC($C$2:$C$288,0.4),3,C193&gt;=_xlfn.PERCENTILE.INC($C$2:$C$288,0.2),2,TRUE,1)</f>
        <v>2</v>
      </c>
      <c r="G193" s="1" cm="1">
        <f t="array" ref="G193">_xlfn.IFS(D193&gt;=_xlfn.PERCENTILE.INC($D$2:$D$288,0.8),5,D193&gt;=_xlfn.PERCENTILE.INC($D$2:$D$288,0.6),4,D193&gt;=_xlfn.PERCENTILE.INC($D$2:$D$288,0.4),3,D193&gt;=_xlfn.PERCENTILE.INC($D$2:$D$288,0.2),2,TRUE,1)</f>
        <v>2</v>
      </c>
      <c r="H193" s="1">
        <f t="shared" si="2"/>
        <v>9</v>
      </c>
      <c r="I193" s="1" t="str" cm="1">
        <f t="array" ref="I193">_xlfn.IFS(H193&gt;=13,"Best Customers",H193&gt;=10,"Loyal Customers",H193&gt;=7,"Potential Loyal Customers",H193&gt;=4,"Need Attention",TRUE,"At Risk")</f>
        <v>Potential Loyal Customers</v>
      </c>
    </row>
    <row r="194" spans="1:9">
      <c r="A194" s="1" t="s">
        <v>446</v>
      </c>
      <c r="B194" s="9">
        <v>19.590868055602201</v>
      </c>
      <c r="C194" s="1">
        <v>3</v>
      </c>
      <c r="D194" s="4">
        <v>26.67</v>
      </c>
      <c r="E194" s="1" cm="1">
        <f t="array" ref="E194">_xlfn.IFS(B194&lt;=_xlfn.PERCENTILE.INC($B$2:$B$288,0.2),5,B194&lt;=_xlfn.PERCENTILE.INC($B$2:$B$288,0.4),4,B194&lt;=_xlfn.PERCENTILE.INC($B$2:$B$288,0.6),3,B194&lt;=_xlfn.PERCENTILE.INC($B$2:$B$288,0.8),2,TRUE,1)</f>
        <v>5</v>
      </c>
      <c r="F194" s="1" cm="1">
        <f t="array" ref="F194">_xlfn.IFS(C194&gt;=_xlfn.PERCENTILE.INC($C$2:$C$288,0.8),5,C194&gt;=_xlfn.PERCENTILE.INC($C$2:$C$288,0.6),4,C194&gt;=_xlfn.PERCENTILE.INC($C$2:$C$288,0.4),3,C194&gt;=_xlfn.PERCENTILE.INC($C$2:$C$288,0.2),2,TRUE,1)</f>
        <v>3</v>
      </c>
      <c r="G194" s="1" cm="1">
        <f t="array" ref="G194">_xlfn.IFS(D194&gt;=_xlfn.PERCENTILE.INC($D$2:$D$288,0.8),5,D194&gt;=_xlfn.PERCENTILE.INC($D$2:$D$288,0.6),4,D194&gt;=_xlfn.PERCENTILE.INC($D$2:$D$288,0.4),3,D194&gt;=_xlfn.PERCENTILE.INC($D$2:$D$288,0.2),2,TRUE,1)</f>
        <v>1</v>
      </c>
      <c r="H194" s="1">
        <f t="shared" si="2"/>
        <v>9</v>
      </c>
      <c r="I194" s="1" t="str" cm="1">
        <f t="array" ref="I194">_xlfn.IFS(H194&gt;=13,"Best Customers",H194&gt;=10,"Loyal Customers",H194&gt;=7,"Potential Loyal Customers",H194&gt;=4,"Need Attention",TRUE,"At Risk")</f>
        <v>Potential Loyal Customers</v>
      </c>
    </row>
    <row r="195" spans="1:9">
      <c r="A195" s="1" t="s">
        <v>246</v>
      </c>
      <c r="B195" s="9">
        <v>13.590868055602201</v>
      </c>
      <c r="C195" s="1">
        <v>5</v>
      </c>
      <c r="D195" s="4">
        <v>85.24</v>
      </c>
      <c r="E195" s="1" cm="1">
        <f t="array" ref="E195">_xlfn.IFS(B195&lt;=_xlfn.PERCENTILE.INC($B$2:$B$288,0.2),5,B195&lt;=_xlfn.PERCENTILE.INC($B$2:$B$288,0.4),4,B195&lt;=_xlfn.PERCENTILE.INC($B$2:$B$288,0.6),3,B195&lt;=_xlfn.PERCENTILE.INC($B$2:$B$288,0.8),2,TRUE,1)</f>
        <v>5</v>
      </c>
      <c r="F195" s="1" cm="1">
        <f t="array" ref="F195">_xlfn.IFS(C195&gt;=_xlfn.PERCENTILE.INC($C$2:$C$288,0.8),5,C195&gt;=_xlfn.PERCENTILE.INC($C$2:$C$288,0.6),4,C195&gt;=_xlfn.PERCENTILE.INC($C$2:$C$288,0.4),3,C195&gt;=_xlfn.PERCENTILE.INC($C$2:$C$288,0.2),2,TRUE,1)</f>
        <v>5</v>
      </c>
      <c r="G195" s="1" cm="1">
        <f t="array" ref="G195">_xlfn.IFS(D195&gt;=_xlfn.PERCENTILE.INC($D$2:$D$288,0.8),5,D195&gt;=_xlfn.PERCENTILE.INC($D$2:$D$288,0.6),4,D195&gt;=_xlfn.PERCENTILE.INC($D$2:$D$288,0.4),3,D195&gt;=_xlfn.PERCENTILE.INC($D$2:$D$288,0.2),2,TRUE,1)</f>
        <v>4</v>
      </c>
      <c r="H195" s="1">
        <f t="shared" ref="H195:H258" si="3">E195+F195+G195</f>
        <v>14</v>
      </c>
      <c r="I195" s="1" t="str" cm="1">
        <f t="array" ref="I195">_xlfn.IFS(H195&gt;=13,"Best Customers",H195&gt;=10,"Loyal Customers",H195&gt;=7,"Potential Loyal Customers",H195&gt;=4,"Need Attention",TRUE,"At Risk")</f>
        <v>Best Customers</v>
      </c>
    </row>
    <row r="196" spans="1:9">
      <c r="A196" s="1" t="s">
        <v>1218</v>
      </c>
      <c r="B196" s="9">
        <v>256.59086805560202</v>
      </c>
      <c r="C196" s="1">
        <v>1</v>
      </c>
      <c r="D196" s="4">
        <v>8.8000000000000007</v>
      </c>
      <c r="E196" s="1" cm="1">
        <f t="array" ref="E196">_xlfn.IFS(B196&lt;=_xlfn.PERCENTILE.INC($B$2:$B$288,0.2),5,B196&lt;=_xlfn.PERCENTILE.INC($B$2:$B$288,0.4),4,B196&lt;=_xlfn.PERCENTILE.INC($B$2:$B$288,0.6),3,B196&lt;=_xlfn.PERCENTILE.INC($B$2:$B$288,0.8),2,TRUE,1)</f>
        <v>1</v>
      </c>
      <c r="F196" s="1" cm="1">
        <f t="array" ref="F196">_xlfn.IFS(C196&gt;=_xlfn.PERCENTILE.INC($C$2:$C$288,0.8),5,C196&gt;=_xlfn.PERCENTILE.INC($C$2:$C$288,0.6),4,C196&gt;=_xlfn.PERCENTILE.INC($C$2:$C$288,0.4),3,C196&gt;=_xlfn.PERCENTILE.INC($C$2:$C$288,0.2),2,TRUE,1)</f>
        <v>1</v>
      </c>
      <c r="G196" s="1" cm="1">
        <f t="array" ref="G196">_xlfn.IFS(D196&gt;=_xlfn.PERCENTILE.INC($D$2:$D$288,0.8),5,D196&gt;=_xlfn.PERCENTILE.INC($D$2:$D$288,0.6),4,D196&gt;=_xlfn.PERCENTILE.INC($D$2:$D$288,0.4),3,D196&gt;=_xlfn.PERCENTILE.INC($D$2:$D$288,0.2),2,TRUE,1)</f>
        <v>1</v>
      </c>
      <c r="H196" s="1">
        <f t="shared" si="3"/>
        <v>3</v>
      </c>
      <c r="I196" s="1" t="str" cm="1">
        <f t="array" ref="I196">_xlfn.IFS(H196&gt;=13,"Best Customers",H196&gt;=10,"Loyal Customers",H196&gt;=7,"Potential Loyal Customers",H196&gt;=4,"Need Attention",TRUE,"At Risk")</f>
        <v>At Risk</v>
      </c>
    </row>
    <row r="197" spans="1:9">
      <c r="A197" s="1" t="s">
        <v>836</v>
      </c>
      <c r="B197" s="9">
        <v>17.590868055602201</v>
      </c>
      <c r="C197" s="1">
        <v>3</v>
      </c>
      <c r="D197" s="4">
        <v>20.82</v>
      </c>
      <c r="E197" s="1" cm="1">
        <f t="array" ref="E197">_xlfn.IFS(B197&lt;=_xlfn.PERCENTILE.INC($B$2:$B$288,0.2),5,B197&lt;=_xlfn.PERCENTILE.INC($B$2:$B$288,0.4),4,B197&lt;=_xlfn.PERCENTILE.INC($B$2:$B$288,0.6),3,B197&lt;=_xlfn.PERCENTILE.INC($B$2:$B$288,0.8),2,TRUE,1)</f>
        <v>5</v>
      </c>
      <c r="F197" s="1" cm="1">
        <f t="array" ref="F197">_xlfn.IFS(C197&gt;=_xlfn.PERCENTILE.INC($C$2:$C$288,0.8),5,C197&gt;=_xlfn.PERCENTILE.INC($C$2:$C$288,0.6),4,C197&gt;=_xlfn.PERCENTILE.INC($C$2:$C$288,0.4),3,C197&gt;=_xlfn.PERCENTILE.INC($C$2:$C$288,0.2),2,TRUE,1)</f>
        <v>3</v>
      </c>
      <c r="G197" s="1" cm="1">
        <f t="array" ref="G197">_xlfn.IFS(D197&gt;=_xlfn.PERCENTILE.INC($D$2:$D$288,0.8),5,D197&gt;=_xlfn.PERCENTILE.INC($D$2:$D$288,0.6),4,D197&gt;=_xlfn.PERCENTILE.INC($D$2:$D$288,0.4),3,D197&gt;=_xlfn.PERCENTILE.INC($D$2:$D$288,0.2),2,TRUE,1)</f>
        <v>1</v>
      </c>
      <c r="H197" s="1">
        <f t="shared" si="3"/>
        <v>9</v>
      </c>
      <c r="I197" s="1" t="str" cm="1">
        <f t="array" ref="I197">_xlfn.IFS(H197&gt;=13,"Best Customers",H197&gt;=10,"Loyal Customers",H197&gt;=7,"Potential Loyal Customers",H197&gt;=4,"Need Attention",TRUE,"At Risk")</f>
        <v>Potential Loyal Customers</v>
      </c>
    </row>
    <row r="198" spans="1:9">
      <c r="A198" s="1" t="s">
        <v>918</v>
      </c>
      <c r="B198" s="9">
        <v>123.590868055602</v>
      </c>
      <c r="C198" s="1">
        <v>1</v>
      </c>
      <c r="D198" s="4">
        <v>5.19</v>
      </c>
      <c r="E198" s="1" cm="1">
        <f t="array" ref="E198">_xlfn.IFS(B198&lt;=_xlfn.PERCENTILE.INC($B$2:$B$288,0.2),5,B198&lt;=_xlfn.PERCENTILE.INC($B$2:$B$288,0.4),4,B198&lt;=_xlfn.PERCENTILE.INC($B$2:$B$288,0.6),3,B198&lt;=_xlfn.PERCENTILE.INC($B$2:$B$288,0.8),2,TRUE,1)</f>
        <v>2</v>
      </c>
      <c r="F198" s="1" cm="1">
        <f t="array" ref="F198">_xlfn.IFS(C198&gt;=_xlfn.PERCENTILE.INC($C$2:$C$288,0.8),5,C198&gt;=_xlfn.PERCENTILE.INC($C$2:$C$288,0.6),4,C198&gt;=_xlfn.PERCENTILE.INC($C$2:$C$288,0.4),3,C198&gt;=_xlfn.PERCENTILE.INC($C$2:$C$288,0.2),2,TRUE,1)</f>
        <v>1</v>
      </c>
      <c r="G198" s="1" cm="1">
        <f t="array" ref="G198">_xlfn.IFS(D198&gt;=_xlfn.PERCENTILE.INC($D$2:$D$288,0.8),5,D198&gt;=_xlfn.PERCENTILE.INC($D$2:$D$288,0.6),4,D198&gt;=_xlfn.PERCENTILE.INC($D$2:$D$288,0.4),3,D198&gt;=_xlfn.PERCENTILE.INC($D$2:$D$288,0.2),2,TRUE,1)</f>
        <v>1</v>
      </c>
      <c r="H198" s="1">
        <f t="shared" si="3"/>
        <v>4</v>
      </c>
      <c r="I198" s="1" t="str" cm="1">
        <f t="array" ref="I198">_xlfn.IFS(H198&gt;=13,"Best Customers",H198&gt;=10,"Loyal Customers",H198&gt;=7,"Potential Loyal Customers",H198&gt;=4,"Need Attention",TRUE,"At Risk")</f>
        <v>Need Attention</v>
      </c>
    </row>
    <row r="199" spans="1:9">
      <c r="A199" s="1" t="s">
        <v>793</v>
      </c>
      <c r="B199" s="9">
        <v>183.59086805560199</v>
      </c>
      <c r="C199" s="1">
        <v>3</v>
      </c>
      <c r="D199" s="4">
        <v>63.08</v>
      </c>
      <c r="E199" s="1" cm="1">
        <f t="array" ref="E199">_xlfn.IFS(B199&lt;=_xlfn.PERCENTILE.INC($B$2:$B$288,0.2),5,B199&lt;=_xlfn.PERCENTILE.INC($B$2:$B$288,0.4),4,B199&lt;=_xlfn.PERCENTILE.INC($B$2:$B$288,0.6),3,B199&lt;=_xlfn.PERCENTILE.INC($B$2:$B$288,0.8),2,TRUE,1)</f>
        <v>1</v>
      </c>
      <c r="F199" s="1" cm="1">
        <f t="array" ref="F199">_xlfn.IFS(C199&gt;=_xlfn.PERCENTILE.INC($C$2:$C$288,0.8),5,C199&gt;=_xlfn.PERCENTILE.INC($C$2:$C$288,0.6),4,C199&gt;=_xlfn.PERCENTILE.INC($C$2:$C$288,0.4),3,C199&gt;=_xlfn.PERCENTILE.INC($C$2:$C$288,0.2),2,TRUE,1)</f>
        <v>3</v>
      </c>
      <c r="G199" s="1" cm="1">
        <f t="array" ref="G199">_xlfn.IFS(D199&gt;=_xlfn.PERCENTILE.INC($D$2:$D$288,0.8),5,D199&gt;=_xlfn.PERCENTILE.INC($D$2:$D$288,0.6),4,D199&gt;=_xlfn.PERCENTILE.INC($D$2:$D$288,0.4),3,D199&gt;=_xlfn.PERCENTILE.INC($D$2:$D$288,0.2),2,TRUE,1)</f>
        <v>4</v>
      </c>
      <c r="H199" s="1">
        <f t="shared" si="3"/>
        <v>8</v>
      </c>
      <c r="I199" s="1" t="str" cm="1">
        <f t="array" ref="I199">_xlfn.IFS(H199&gt;=13,"Best Customers",H199&gt;=10,"Loyal Customers",H199&gt;=7,"Potential Loyal Customers",H199&gt;=4,"Need Attention",TRUE,"At Risk")</f>
        <v>Potential Loyal Customers</v>
      </c>
    </row>
    <row r="200" spans="1:9">
      <c r="A200" s="1" t="s">
        <v>1012</v>
      </c>
      <c r="B200" s="9">
        <v>24.590868055602201</v>
      </c>
      <c r="C200" s="1">
        <v>2</v>
      </c>
      <c r="D200" s="4">
        <v>22.57</v>
      </c>
      <c r="E200" s="1" cm="1">
        <f t="array" ref="E200">_xlfn.IFS(B200&lt;=_xlfn.PERCENTILE.INC($B$2:$B$288,0.2),5,B200&lt;=_xlfn.PERCENTILE.INC($B$2:$B$288,0.4),4,B200&lt;=_xlfn.PERCENTILE.INC($B$2:$B$288,0.6),3,B200&lt;=_xlfn.PERCENTILE.INC($B$2:$B$288,0.8),2,TRUE,1)</f>
        <v>4</v>
      </c>
      <c r="F200" s="1" cm="1">
        <f t="array" ref="F200">_xlfn.IFS(C200&gt;=_xlfn.PERCENTILE.INC($C$2:$C$288,0.8),5,C200&gt;=_xlfn.PERCENTILE.INC($C$2:$C$288,0.6),4,C200&gt;=_xlfn.PERCENTILE.INC($C$2:$C$288,0.4),3,C200&gt;=_xlfn.PERCENTILE.INC($C$2:$C$288,0.2),2,TRUE,1)</f>
        <v>2</v>
      </c>
      <c r="G200" s="1" cm="1">
        <f t="array" ref="G200">_xlfn.IFS(D200&gt;=_xlfn.PERCENTILE.INC($D$2:$D$288,0.8),5,D200&gt;=_xlfn.PERCENTILE.INC($D$2:$D$288,0.6),4,D200&gt;=_xlfn.PERCENTILE.INC($D$2:$D$288,0.4),3,D200&gt;=_xlfn.PERCENTILE.INC($D$2:$D$288,0.2),2,TRUE,1)</f>
        <v>1</v>
      </c>
      <c r="H200" s="1">
        <f t="shared" si="3"/>
        <v>7</v>
      </c>
      <c r="I200" s="1" t="str" cm="1">
        <f t="array" ref="I200">_xlfn.IFS(H200&gt;=13,"Best Customers",H200&gt;=10,"Loyal Customers",H200&gt;=7,"Potential Loyal Customers",H200&gt;=4,"Need Attention",TRUE,"At Risk")</f>
        <v>Potential Loyal Customers</v>
      </c>
    </row>
    <row r="201" spans="1:9">
      <c r="A201" s="1" t="s">
        <v>885</v>
      </c>
      <c r="B201" s="9">
        <v>145.59086805560199</v>
      </c>
      <c r="C201" s="1">
        <v>3</v>
      </c>
      <c r="D201" s="4">
        <v>61.43</v>
      </c>
      <c r="E201" s="1" cm="1">
        <f t="array" ref="E201">_xlfn.IFS(B201&lt;=_xlfn.PERCENTILE.INC($B$2:$B$288,0.2),5,B201&lt;=_xlfn.PERCENTILE.INC($B$2:$B$288,0.4),4,B201&lt;=_xlfn.PERCENTILE.INC($B$2:$B$288,0.6),3,B201&lt;=_xlfn.PERCENTILE.INC($B$2:$B$288,0.8),2,TRUE,1)</f>
        <v>2</v>
      </c>
      <c r="F201" s="1" cm="1">
        <f t="array" ref="F201">_xlfn.IFS(C201&gt;=_xlfn.PERCENTILE.INC($C$2:$C$288,0.8),5,C201&gt;=_xlfn.PERCENTILE.INC($C$2:$C$288,0.6),4,C201&gt;=_xlfn.PERCENTILE.INC($C$2:$C$288,0.4),3,C201&gt;=_xlfn.PERCENTILE.INC($C$2:$C$288,0.2),2,TRUE,1)</f>
        <v>3</v>
      </c>
      <c r="G201" s="1" cm="1">
        <f t="array" ref="G201">_xlfn.IFS(D201&gt;=_xlfn.PERCENTILE.INC($D$2:$D$288,0.8),5,D201&gt;=_xlfn.PERCENTILE.INC($D$2:$D$288,0.6),4,D201&gt;=_xlfn.PERCENTILE.INC($D$2:$D$288,0.4),3,D201&gt;=_xlfn.PERCENTILE.INC($D$2:$D$288,0.2),2,TRUE,1)</f>
        <v>4</v>
      </c>
      <c r="H201" s="1">
        <f t="shared" si="3"/>
        <v>9</v>
      </c>
      <c r="I201" s="1" t="str" cm="1">
        <f t="array" ref="I201">_xlfn.IFS(H201&gt;=13,"Best Customers",H201&gt;=10,"Loyal Customers",H201&gt;=7,"Potential Loyal Customers",H201&gt;=4,"Need Attention",TRUE,"At Risk")</f>
        <v>Potential Loyal Customers</v>
      </c>
    </row>
    <row r="202" spans="1:9">
      <c r="A202" s="1" t="s">
        <v>434</v>
      </c>
      <c r="B202" s="9">
        <v>145.59086805560199</v>
      </c>
      <c r="C202" s="1">
        <v>3</v>
      </c>
      <c r="D202" s="4">
        <v>41</v>
      </c>
      <c r="E202" s="1" cm="1">
        <f t="array" ref="E202">_xlfn.IFS(B202&lt;=_xlfn.PERCENTILE.INC($B$2:$B$288,0.2),5,B202&lt;=_xlfn.PERCENTILE.INC($B$2:$B$288,0.4),4,B202&lt;=_xlfn.PERCENTILE.INC($B$2:$B$288,0.6),3,B202&lt;=_xlfn.PERCENTILE.INC($B$2:$B$288,0.8),2,TRUE,1)</f>
        <v>2</v>
      </c>
      <c r="F202" s="1" cm="1">
        <f t="array" ref="F202">_xlfn.IFS(C202&gt;=_xlfn.PERCENTILE.INC($C$2:$C$288,0.8),5,C202&gt;=_xlfn.PERCENTILE.INC($C$2:$C$288,0.6),4,C202&gt;=_xlfn.PERCENTILE.INC($C$2:$C$288,0.4),3,C202&gt;=_xlfn.PERCENTILE.INC($C$2:$C$288,0.2),2,TRUE,1)</f>
        <v>3</v>
      </c>
      <c r="G202" s="1" cm="1">
        <f t="array" ref="G202">_xlfn.IFS(D202&gt;=_xlfn.PERCENTILE.INC($D$2:$D$288,0.8),5,D202&gt;=_xlfn.PERCENTILE.INC($D$2:$D$288,0.6),4,D202&gt;=_xlfn.PERCENTILE.INC($D$2:$D$288,0.4),3,D202&gt;=_xlfn.PERCENTILE.INC($D$2:$D$288,0.2),2,TRUE,1)</f>
        <v>2</v>
      </c>
      <c r="H202" s="1">
        <f t="shared" si="3"/>
        <v>7</v>
      </c>
      <c r="I202" s="1" t="str" cm="1">
        <f t="array" ref="I202">_xlfn.IFS(H202&gt;=13,"Best Customers",H202&gt;=10,"Loyal Customers",H202&gt;=7,"Potential Loyal Customers",H202&gt;=4,"Need Attention",TRUE,"At Risk")</f>
        <v>Potential Loyal Customers</v>
      </c>
    </row>
    <row r="203" spans="1:9">
      <c r="A203" s="1" t="s">
        <v>205</v>
      </c>
      <c r="B203" s="9">
        <v>178.59086805560199</v>
      </c>
      <c r="C203" s="1">
        <v>4</v>
      </c>
      <c r="D203" s="4">
        <v>47.96</v>
      </c>
      <c r="E203" s="1" cm="1">
        <f t="array" ref="E203">_xlfn.IFS(B203&lt;=_xlfn.PERCENTILE.INC($B$2:$B$288,0.2),5,B203&lt;=_xlfn.PERCENTILE.INC($B$2:$B$288,0.4),4,B203&lt;=_xlfn.PERCENTILE.INC($B$2:$B$288,0.6),3,B203&lt;=_xlfn.PERCENTILE.INC($B$2:$B$288,0.8),2,TRUE,1)</f>
        <v>1</v>
      </c>
      <c r="F203" s="1" cm="1">
        <f t="array" ref="F203">_xlfn.IFS(C203&gt;=_xlfn.PERCENTILE.INC($C$2:$C$288,0.8),5,C203&gt;=_xlfn.PERCENTILE.INC($C$2:$C$288,0.6),4,C203&gt;=_xlfn.PERCENTILE.INC($C$2:$C$288,0.4),3,C203&gt;=_xlfn.PERCENTILE.INC($C$2:$C$288,0.2),2,TRUE,1)</f>
        <v>4</v>
      </c>
      <c r="G203" s="1" cm="1">
        <f t="array" ref="G203">_xlfn.IFS(D203&gt;=_xlfn.PERCENTILE.INC($D$2:$D$288,0.8),5,D203&gt;=_xlfn.PERCENTILE.INC($D$2:$D$288,0.6),4,D203&gt;=_xlfn.PERCENTILE.INC($D$2:$D$288,0.4),3,D203&gt;=_xlfn.PERCENTILE.INC($D$2:$D$288,0.2),2,TRUE,1)</f>
        <v>3</v>
      </c>
      <c r="H203" s="1">
        <f t="shared" si="3"/>
        <v>8</v>
      </c>
      <c r="I203" s="1" t="str" cm="1">
        <f t="array" ref="I203">_xlfn.IFS(H203&gt;=13,"Best Customers",H203&gt;=10,"Loyal Customers",H203&gt;=7,"Potential Loyal Customers",H203&gt;=4,"Need Attention",TRUE,"At Risk")</f>
        <v>Potential Loyal Customers</v>
      </c>
    </row>
    <row r="204" spans="1:9">
      <c r="A204" s="1" t="s">
        <v>305</v>
      </c>
      <c r="B204" s="9">
        <v>17.590868055602201</v>
      </c>
      <c r="C204" s="1">
        <v>2</v>
      </c>
      <c r="D204" s="4">
        <v>21.21</v>
      </c>
      <c r="E204" s="1" cm="1">
        <f t="array" ref="E204">_xlfn.IFS(B204&lt;=_xlfn.PERCENTILE.INC($B$2:$B$288,0.2),5,B204&lt;=_xlfn.PERCENTILE.INC($B$2:$B$288,0.4),4,B204&lt;=_xlfn.PERCENTILE.INC($B$2:$B$288,0.6),3,B204&lt;=_xlfn.PERCENTILE.INC($B$2:$B$288,0.8),2,TRUE,1)</f>
        <v>5</v>
      </c>
      <c r="F204" s="1" cm="1">
        <f t="array" ref="F204">_xlfn.IFS(C204&gt;=_xlfn.PERCENTILE.INC($C$2:$C$288,0.8),5,C204&gt;=_xlfn.PERCENTILE.INC($C$2:$C$288,0.6),4,C204&gt;=_xlfn.PERCENTILE.INC($C$2:$C$288,0.4),3,C204&gt;=_xlfn.PERCENTILE.INC($C$2:$C$288,0.2),2,TRUE,1)</f>
        <v>2</v>
      </c>
      <c r="G204" s="1" cm="1">
        <f t="array" ref="G204">_xlfn.IFS(D204&gt;=_xlfn.PERCENTILE.INC($D$2:$D$288,0.8),5,D204&gt;=_xlfn.PERCENTILE.INC($D$2:$D$288,0.6),4,D204&gt;=_xlfn.PERCENTILE.INC($D$2:$D$288,0.4),3,D204&gt;=_xlfn.PERCENTILE.INC($D$2:$D$288,0.2),2,TRUE,1)</f>
        <v>1</v>
      </c>
      <c r="H204" s="1">
        <f t="shared" si="3"/>
        <v>8</v>
      </c>
      <c r="I204" s="1" t="str" cm="1">
        <f t="array" ref="I204">_xlfn.IFS(H204&gt;=13,"Best Customers",H204&gt;=10,"Loyal Customers",H204&gt;=7,"Potential Loyal Customers",H204&gt;=4,"Need Attention",TRUE,"At Risk")</f>
        <v>Potential Loyal Customers</v>
      </c>
    </row>
    <row r="205" spans="1:9">
      <c r="A205" s="1" t="s">
        <v>72</v>
      </c>
      <c r="B205" s="9">
        <v>0.59086805560218603</v>
      </c>
      <c r="C205" s="1">
        <v>3</v>
      </c>
      <c r="D205" s="4">
        <v>40.74</v>
      </c>
      <c r="E205" s="1" cm="1">
        <f t="array" ref="E205">_xlfn.IFS(B205&lt;=_xlfn.PERCENTILE.INC($B$2:$B$288,0.2),5,B205&lt;=_xlfn.PERCENTILE.INC($B$2:$B$288,0.4),4,B205&lt;=_xlfn.PERCENTILE.INC($B$2:$B$288,0.6),3,B205&lt;=_xlfn.PERCENTILE.INC($B$2:$B$288,0.8),2,TRUE,1)</f>
        <v>5</v>
      </c>
      <c r="F205" s="1" cm="1">
        <f t="array" ref="F205">_xlfn.IFS(C205&gt;=_xlfn.PERCENTILE.INC($C$2:$C$288,0.8),5,C205&gt;=_xlfn.PERCENTILE.INC($C$2:$C$288,0.6),4,C205&gt;=_xlfn.PERCENTILE.INC($C$2:$C$288,0.4),3,C205&gt;=_xlfn.PERCENTILE.INC($C$2:$C$288,0.2),2,TRUE,1)</f>
        <v>3</v>
      </c>
      <c r="G205" s="1" cm="1">
        <f t="array" ref="G205">_xlfn.IFS(D205&gt;=_xlfn.PERCENTILE.INC($D$2:$D$288,0.8),5,D205&gt;=_xlfn.PERCENTILE.INC($D$2:$D$288,0.6),4,D205&gt;=_xlfn.PERCENTILE.INC($D$2:$D$288,0.4),3,D205&gt;=_xlfn.PERCENTILE.INC($D$2:$D$288,0.2),2,TRUE,1)</f>
        <v>2</v>
      </c>
      <c r="H205" s="1">
        <f t="shared" si="3"/>
        <v>10</v>
      </c>
      <c r="I205" s="1" t="str" cm="1">
        <f t="array" ref="I205">_xlfn.IFS(H205&gt;=13,"Best Customers",H205&gt;=10,"Loyal Customers",H205&gt;=7,"Potential Loyal Customers",H205&gt;=4,"Need Attention",TRUE,"At Risk")</f>
        <v>Loyal Customers</v>
      </c>
    </row>
    <row r="206" spans="1:9">
      <c r="A206" s="1" t="s">
        <v>230</v>
      </c>
      <c r="B206" s="9">
        <v>136.59086805560199</v>
      </c>
      <c r="C206" s="1">
        <v>4</v>
      </c>
      <c r="D206" s="4">
        <v>29.38</v>
      </c>
      <c r="E206" s="1" cm="1">
        <f t="array" ref="E206">_xlfn.IFS(B206&lt;=_xlfn.PERCENTILE.INC($B$2:$B$288,0.2),5,B206&lt;=_xlfn.PERCENTILE.INC($B$2:$B$288,0.4),4,B206&lt;=_xlfn.PERCENTILE.INC($B$2:$B$288,0.6),3,B206&lt;=_xlfn.PERCENTILE.INC($B$2:$B$288,0.8),2,TRUE,1)</f>
        <v>2</v>
      </c>
      <c r="F206" s="1" cm="1">
        <f t="array" ref="F206">_xlfn.IFS(C206&gt;=_xlfn.PERCENTILE.INC($C$2:$C$288,0.8),5,C206&gt;=_xlfn.PERCENTILE.INC($C$2:$C$288,0.6),4,C206&gt;=_xlfn.PERCENTILE.INC($C$2:$C$288,0.4),3,C206&gt;=_xlfn.PERCENTILE.INC($C$2:$C$288,0.2),2,TRUE,1)</f>
        <v>4</v>
      </c>
      <c r="G206" s="1" cm="1">
        <f t="array" ref="G206">_xlfn.IFS(D206&gt;=_xlfn.PERCENTILE.INC($D$2:$D$288,0.8),5,D206&gt;=_xlfn.PERCENTILE.INC($D$2:$D$288,0.6),4,D206&gt;=_xlfn.PERCENTILE.INC($D$2:$D$288,0.4),3,D206&gt;=_xlfn.PERCENTILE.INC($D$2:$D$288,0.2),2,TRUE,1)</f>
        <v>2</v>
      </c>
      <c r="H206" s="1">
        <f t="shared" si="3"/>
        <v>8</v>
      </c>
      <c r="I206" s="1" t="str" cm="1">
        <f t="array" ref="I206">_xlfn.IFS(H206&gt;=13,"Best Customers",H206&gt;=10,"Loyal Customers",H206&gt;=7,"Potential Loyal Customers",H206&gt;=4,"Need Attention",TRUE,"At Risk")</f>
        <v>Potential Loyal Customers</v>
      </c>
    </row>
    <row r="207" spans="1:9">
      <c r="A207" s="1" t="s">
        <v>303</v>
      </c>
      <c r="B207" s="9">
        <v>173.59086805560199</v>
      </c>
      <c r="C207" s="1">
        <v>6</v>
      </c>
      <c r="D207" s="4">
        <v>123.08</v>
      </c>
      <c r="E207" s="1" cm="1">
        <f t="array" ref="E207">_xlfn.IFS(B207&lt;=_xlfn.PERCENTILE.INC($B$2:$B$288,0.2),5,B207&lt;=_xlfn.PERCENTILE.INC($B$2:$B$288,0.4),4,B207&lt;=_xlfn.PERCENTILE.INC($B$2:$B$288,0.6),3,B207&lt;=_xlfn.PERCENTILE.INC($B$2:$B$288,0.8),2,TRUE,1)</f>
        <v>1</v>
      </c>
      <c r="F207" s="1" cm="1">
        <f t="array" ref="F207">_xlfn.IFS(C207&gt;=_xlfn.PERCENTILE.INC($C$2:$C$288,0.8),5,C207&gt;=_xlfn.PERCENTILE.INC($C$2:$C$288,0.6),4,C207&gt;=_xlfn.PERCENTILE.INC($C$2:$C$288,0.4),3,C207&gt;=_xlfn.PERCENTILE.INC($C$2:$C$288,0.2),2,TRUE,1)</f>
        <v>5</v>
      </c>
      <c r="G207" s="1" cm="1">
        <f t="array" ref="G207">_xlfn.IFS(D207&gt;=_xlfn.PERCENTILE.INC($D$2:$D$288,0.8),5,D207&gt;=_xlfn.PERCENTILE.INC($D$2:$D$288,0.6),4,D207&gt;=_xlfn.PERCENTILE.INC($D$2:$D$288,0.4),3,D207&gt;=_xlfn.PERCENTILE.INC($D$2:$D$288,0.2),2,TRUE,1)</f>
        <v>5</v>
      </c>
      <c r="H207" s="1">
        <f t="shared" si="3"/>
        <v>11</v>
      </c>
      <c r="I207" s="1" t="str" cm="1">
        <f t="array" ref="I207">_xlfn.IFS(H207&gt;=13,"Best Customers",H207&gt;=10,"Loyal Customers",H207&gt;=7,"Potential Loyal Customers",H207&gt;=4,"Need Attention",TRUE,"At Risk")</f>
        <v>Loyal Customers</v>
      </c>
    </row>
    <row r="208" spans="1:9">
      <c r="A208" s="1" t="s">
        <v>161</v>
      </c>
      <c r="B208" s="9">
        <v>69.590868055602201</v>
      </c>
      <c r="C208" s="1">
        <v>5</v>
      </c>
      <c r="D208" s="4">
        <v>158.80000000000001</v>
      </c>
      <c r="E208" s="1" cm="1">
        <f t="array" ref="E208">_xlfn.IFS(B208&lt;=_xlfn.PERCENTILE.INC($B$2:$B$288,0.2),5,B208&lt;=_xlfn.PERCENTILE.INC($B$2:$B$288,0.4),4,B208&lt;=_xlfn.PERCENTILE.INC($B$2:$B$288,0.6),3,B208&lt;=_xlfn.PERCENTILE.INC($B$2:$B$288,0.8),2,TRUE,1)</f>
        <v>3</v>
      </c>
      <c r="F208" s="1" cm="1">
        <f t="array" ref="F208">_xlfn.IFS(C208&gt;=_xlfn.PERCENTILE.INC($C$2:$C$288,0.8),5,C208&gt;=_xlfn.PERCENTILE.INC($C$2:$C$288,0.6),4,C208&gt;=_xlfn.PERCENTILE.INC($C$2:$C$288,0.4),3,C208&gt;=_xlfn.PERCENTILE.INC($C$2:$C$288,0.2),2,TRUE,1)</f>
        <v>5</v>
      </c>
      <c r="G208" s="1" cm="1">
        <f t="array" ref="G208">_xlfn.IFS(D208&gt;=_xlfn.PERCENTILE.INC($D$2:$D$288,0.8),5,D208&gt;=_xlfn.PERCENTILE.INC($D$2:$D$288,0.6),4,D208&gt;=_xlfn.PERCENTILE.INC($D$2:$D$288,0.4),3,D208&gt;=_xlfn.PERCENTILE.INC($D$2:$D$288,0.2),2,TRUE,1)</f>
        <v>5</v>
      </c>
      <c r="H208" s="1">
        <f t="shared" si="3"/>
        <v>13</v>
      </c>
      <c r="I208" s="1" t="str" cm="1">
        <f t="array" ref="I208">_xlfn.IFS(H208&gt;=13,"Best Customers",H208&gt;=10,"Loyal Customers",H208&gt;=7,"Potential Loyal Customers",H208&gt;=4,"Need Attention",TRUE,"At Risk")</f>
        <v>Best Customers</v>
      </c>
    </row>
    <row r="209" spans="1:9">
      <c r="A209" s="1" t="s">
        <v>544</v>
      </c>
      <c r="B209" s="9">
        <v>84.590868055602201</v>
      </c>
      <c r="C209" s="1">
        <v>3</v>
      </c>
      <c r="D209" s="4">
        <v>33.950000000000003</v>
      </c>
      <c r="E209" s="1" cm="1">
        <f t="array" ref="E209">_xlfn.IFS(B209&lt;=_xlfn.PERCENTILE.INC($B$2:$B$288,0.2),5,B209&lt;=_xlfn.PERCENTILE.INC($B$2:$B$288,0.4),4,B209&lt;=_xlfn.PERCENTILE.INC($B$2:$B$288,0.6),3,B209&lt;=_xlfn.PERCENTILE.INC($B$2:$B$288,0.8),2,TRUE,1)</f>
        <v>3</v>
      </c>
      <c r="F209" s="1" cm="1">
        <f t="array" ref="F209">_xlfn.IFS(C209&gt;=_xlfn.PERCENTILE.INC($C$2:$C$288,0.8),5,C209&gt;=_xlfn.PERCENTILE.INC($C$2:$C$288,0.6),4,C209&gt;=_xlfn.PERCENTILE.INC($C$2:$C$288,0.4),3,C209&gt;=_xlfn.PERCENTILE.INC($C$2:$C$288,0.2),2,TRUE,1)</f>
        <v>3</v>
      </c>
      <c r="G209" s="1" cm="1">
        <f t="array" ref="G209">_xlfn.IFS(D209&gt;=_xlfn.PERCENTILE.INC($D$2:$D$288,0.8),5,D209&gt;=_xlfn.PERCENTILE.INC($D$2:$D$288,0.6),4,D209&gt;=_xlfn.PERCENTILE.INC($D$2:$D$288,0.4),3,D209&gt;=_xlfn.PERCENTILE.INC($D$2:$D$288,0.2),2,TRUE,1)</f>
        <v>2</v>
      </c>
      <c r="H209" s="1">
        <f t="shared" si="3"/>
        <v>8</v>
      </c>
      <c r="I209" s="1" t="str" cm="1">
        <f t="array" ref="I209">_xlfn.IFS(H209&gt;=13,"Best Customers",H209&gt;=10,"Loyal Customers",H209&gt;=7,"Potential Loyal Customers",H209&gt;=4,"Need Attention",TRUE,"At Risk")</f>
        <v>Potential Loyal Customers</v>
      </c>
    </row>
    <row r="210" spans="1:9">
      <c r="A210" s="1" t="s">
        <v>200</v>
      </c>
      <c r="B210" s="9">
        <v>19.590868055602201</v>
      </c>
      <c r="C210" s="1">
        <v>3</v>
      </c>
      <c r="D210" s="4">
        <v>59.46</v>
      </c>
      <c r="E210" s="1" cm="1">
        <f t="array" ref="E210">_xlfn.IFS(B210&lt;=_xlfn.PERCENTILE.INC($B$2:$B$288,0.2),5,B210&lt;=_xlfn.PERCENTILE.INC($B$2:$B$288,0.4),4,B210&lt;=_xlfn.PERCENTILE.INC($B$2:$B$288,0.6),3,B210&lt;=_xlfn.PERCENTILE.INC($B$2:$B$288,0.8),2,TRUE,1)</f>
        <v>5</v>
      </c>
      <c r="F210" s="1" cm="1">
        <f t="array" ref="F210">_xlfn.IFS(C210&gt;=_xlfn.PERCENTILE.INC($C$2:$C$288,0.8),5,C210&gt;=_xlfn.PERCENTILE.INC($C$2:$C$288,0.6),4,C210&gt;=_xlfn.PERCENTILE.INC($C$2:$C$288,0.4),3,C210&gt;=_xlfn.PERCENTILE.INC($C$2:$C$288,0.2),2,TRUE,1)</f>
        <v>3</v>
      </c>
      <c r="G210" s="1" cm="1">
        <f t="array" ref="G210">_xlfn.IFS(D210&gt;=_xlfn.PERCENTILE.INC($D$2:$D$288,0.8),5,D210&gt;=_xlfn.PERCENTILE.INC($D$2:$D$288,0.6),4,D210&gt;=_xlfn.PERCENTILE.INC($D$2:$D$288,0.4),3,D210&gt;=_xlfn.PERCENTILE.INC($D$2:$D$288,0.2),2,TRUE,1)</f>
        <v>3</v>
      </c>
      <c r="H210" s="1">
        <f t="shared" si="3"/>
        <v>11</v>
      </c>
      <c r="I210" s="1" t="str" cm="1">
        <f t="array" ref="I210">_xlfn.IFS(H210&gt;=13,"Best Customers",H210&gt;=10,"Loyal Customers",H210&gt;=7,"Potential Loyal Customers",H210&gt;=4,"Need Attention",TRUE,"At Risk")</f>
        <v>Loyal Customers</v>
      </c>
    </row>
    <row r="211" spans="1:9">
      <c r="A211" s="1" t="s">
        <v>483</v>
      </c>
      <c r="B211" s="9">
        <v>4.5908680556021899</v>
      </c>
      <c r="C211" s="1">
        <v>2</v>
      </c>
      <c r="D211" s="4">
        <v>47.76</v>
      </c>
      <c r="E211" s="1" cm="1">
        <f t="array" ref="E211">_xlfn.IFS(B211&lt;=_xlfn.PERCENTILE.INC($B$2:$B$288,0.2),5,B211&lt;=_xlfn.PERCENTILE.INC($B$2:$B$288,0.4),4,B211&lt;=_xlfn.PERCENTILE.INC($B$2:$B$288,0.6),3,B211&lt;=_xlfn.PERCENTILE.INC($B$2:$B$288,0.8),2,TRUE,1)</f>
        <v>5</v>
      </c>
      <c r="F211" s="1" cm="1">
        <f t="array" ref="F211">_xlfn.IFS(C211&gt;=_xlfn.PERCENTILE.INC($C$2:$C$288,0.8),5,C211&gt;=_xlfn.PERCENTILE.INC($C$2:$C$288,0.6),4,C211&gt;=_xlfn.PERCENTILE.INC($C$2:$C$288,0.4),3,C211&gt;=_xlfn.PERCENTILE.INC($C$2:$C$288,0.2),2,TRUE,1)</f>
        <v>2</v>
      </c>
      <c r="G211" s="1" cm="1">
        <f t="array" ref="G211">_xlfn.IFS(D211&gt;=_xlfn.PERCENTILE.INC($D$2:$D$288,0.8),5,D211&gt;=_xlfn.PERCENTILE.INC($D$2:$D$288,0.6),4,D211&gt;=_xlfn.PERCENTILE.INC($D$2:$D$288,0.4),3,D211&gt;=_xlfn.PERCENTILE.INC($D$2:$D$288,0.2),2,TRUE,1)</f>
        <v>3</v>
      </c>
      <c r="H211" s="1">
        <f t="shared" si="3"/>
        <v>10</v>
      </c>
      <c r="I211" s="1" t="str" cm="1">
        <f t="array" ref="I211">_xlfn.IFS(H211&gt;=13,"Best Customers",H211&gt;=10,"Loyal Customers",H211&gt;=7,"Potential Loyal Customers",H211&gt;=4,"Need Attention",TRUE,"At Risk")</f>
        <v>Loyal Customers</v>
      </c>
    </row>
    <row r="212" spans="1:9">
      <c r="A212" s="1" t="s">
        <v>1019</v>
      </c>
      <c r="B212" s="9">
        <v>82.590868055602201</v>
      </c>
      <c r="C212" s="1">
        <v>3</v>
      </c>
      <c r="D212" s="4">
        <v>73.260000000000005</v>
      </c>
      <c r="E212" s="1" cm="1">
        <f t="array" ref="E212">_xlfn.IFS(B212&lt;=_xlfn.PERCENTILE.INC($B$2:$B$288,0.2),5,B212&lt;=_xlfn.PERCENTILE.INC($B$2:$B$288,0.4),4,B212&lt;=_xlfn.PERCENTILE.INC($B$2:$B$288,0.6),3,B212&lt;=_xlfn.PERCENTILE.INC($B$2:$B$288,0.8),2,TRUE,1)</f>
        <v>3</v>
      </c>
      <c r="F212" s="1" cm="1">
        <f t="array" ref="F212">_xlfn.IFS(C212&gt;=_xlfn.PERCENTILE.INC($C$2:$C$288,0.8),5,C212&gt;=_xlfn.PERCENTILE.INC($C$2:$C$288,0.6),4,C212&gt;=_xlfn.PERCENTILE.INC($C$2:$C$288,0.4),3,C212&gt;=_xlfn.PERCENTILE.INC($C$2:$C$288,0.2),2,TRUE,1)</f>
        <v>3</v>
      </c>
      <c r="G212" s="1" cm="1">
        <f t="array" ref="G212">_xlfn.IFS(D212&gt;=_xlfn.PERCENTILE.INC($D$2:$D$288,0.8),5,D212&gt;=_xlfn.PERCENTILE.INC($D$2:$D$288,0.6),4,D212&gt;=_xlfn.PERCENTILE.INC($D$2:$D$288,0.4),3,D212&gt;=_xlfn.PERCENTILE.INC($D$2:$D$288,0.2),2,TRUE,1)</f>
        <v>4</v>
      </c>
      <c r="H212" s="1">
        <f t="shared" si="3"/>
        <v>10</v>
      </c>
      <c r="I212" s="1" t="str" cm="1">
        <f t="array" ref="I212">_xlfn.IFS(H212&gt;=13,"Best Customers",H212&gt;=10,"Loyal Customers",H212&gt;=7,"Potential Loyal Customers",H212&gt;=4,"Need Attention",TRUE,"At Risk")</f>
        <v>Loyal Customers</v>
      </c>
    </row>
    <row r="213" spans="1:9">
      <c r="A213" s="1" t="s">
        <v>995</v>
      </c>
      <c r="B213" s="9">
        <v>337.59086805560202</v>
      </c>
      <c r="C213" s="1">
        <v>2</v>
      </c>
      <c r="D213" s="4">
        <v>30.95</v>
      </c>
      <c r="E213" s="1" cm="1">
        <f t="array" ref="E213">_xlfn.IFS(B213&lt;=_xlfn.PERCENTILE.INC($B$2:$B$288,0.2),5,B213&lt;=_xlfn.PERCENTILE.INC($B$2:$B$288,0.4),4,B213&lt;=_xlfn.PERCENTILE.INC($B$2:$B$288,0.6),3,B213&lt;=_xlfn.PERCENTILE.INC($B$2:$B$288,0.8),2,TRUE,1)</f>
        <v>1</v>
      </c>
      <c r="F213" s="1" cm="1">
        <f t="array" ref="F213">_xlfn.IFS(C213&gt;=_xlfn.PERCENTILE.INC($C$2:$C$288,0.8),5,C213&gt;=_xlfn.PERCENTILE.INC($C$2:$C$288,0.6),4,C213&gt;=_xlfn.PERCENTILE.INC($C$2:$C$288,0.4),3,C213&gt;=_xlfn.PERCENTILE.INC($C$2:$C$288,0.2),2,TRUE,1)</f>
        <v>2</v>
      </c>
      <c r="G213" s="1" cm="1">
        <f t="array" ref="G213">_xlfn.IFS(D213&gt;=_xlfn.PERCENTILE.INC($D$2:$D$288,0.8),5,D213&gt;=_xlfn.PERCENTILE.INC($D$2:$D$288,0.6),4,D213&gt;=_xlfn.PERCENTILE.INC($D$2:$D$288,0.4),3,D213&gt;=_xlfn.PERCENTILE.INC($D$2:$D$288,0.2),2,TRUE,1)</f>
        <v>2</v>
      </c>
      <c r="H213" s="1">
        <f t="shared" si="3"/>
        <v>5</v>
      </c>
      <c r="I213" s="1" t="str" cm="1">
        <f t="array" ref="I213">_xlfn.IFS(H213&gt;=13,"Best Customers",H213&gt;=10,"Loyal Customers",H213&gt;=7,"Potential Loyal Customers",H213&gt;=4,"Need Attention",TRUE,"At Risk")</f>
        <v>Need Attention</v>
      </c>
    </row>
    <row r="214" spans="1:9">
      <c r="A214" s="1" t="s">
        <v>329</v>
      </c>
      <c r="B214" s="9">
        <v>1.5908680556021899</v>
      </c>
      <c r="C214" s="1">
        <v>4</v>
      </c>
      <c r="D214" s="4">
        <v>30.69</v>
      </c>
      <c r="E214" s="1" cm="1">
        <f t="array" ref="E214">_xlfn.IFS(B214&lt;=_xlfn.PERCENTILE.INC($B$2:$B$288,0.2),5,B214&lt;=_xlfn.PERCENTILE.INC($B$2:$B$288,0.4),4,B214&lt;=_xlfn.PERCENTILE.INC($B$2:$B$288,0.6),3,B214&lt;=_xlfn.PERCENTILE.INC($B$2:$B$288,0.8),2,TRUE,1)</f>
        <v>5</v>
      </c>
      <c r="F214" s="1" cm="1">
        <f t="array" ref="F214">_xlfn.IFS(C214&gt;=_xlfn.PERCENTILE.INC($C$2:$C$288,0.8),5,C214&gt;=_xlfn.PERCENTILE.INC($C$2:$C$288,0.6),4,C214&gt;=_xlfn.PERCENTILE.INC($C$2:$C$288,0.4),3,C214&gt;=_xlfn.PERCENTILE.INC($C$2:$C$288,0.2),2,TRUE,1)</f>
        <v>4</v>
      </c>
      <c r="G214" s="1" cm="1">
        <f t="array" ref="G214">_xlfn.IFS(D214&gt;=_xlfn.PERCENTILE.INC($D$2:$D$288,0.8),5,D214&gt;=_xlfn.PERCENTILE.INC($D$2:$D$288,0.6),4,D214&gt;=_xlfn.PERCENTILE.INC($D$2:$D$288,0.4),3,D214&gt;=_xlfn.PERCENTILE.INC($D$2:$D$288,0.2),2,TRUE,1)</f>
        <v>2</v>
      </c>
      <c r="H214" s="1">
        <f t="shared" si="3"/>
        <v>11</v>
      </c>
      <c r="I214" s="1" t="str" cm="1">
        <f t="array" ref="I214">_xlfn.IFS(H214&gt;=13,"Best Customers",H214&gt;=10,"Loyal Customers",H214&gt;=7,"Potential Loyal Customers",H214&gt;=4,"Need Attention",TRUE,"At Risk")</f>
        <v>Loyal Customers</v>
      </c>
    </row>
    <row r="215" spans="1:9">
      <c r="A215" s="1" t="s">
        <v>378</v>
      </c>
      <c r="B215" s="9">
        <v>52.590868055602201</v>
      </c>
      <c r="C215" s="1">
        <v>5</v>
      </c>
      <c r="D215" s="4">
        <v>61.24</v>
      </c>
      <c r="E215" s="1" cm="1">
        <f t="array" ref="E215">_xlfn.IFS(B215&lt;=_xlfn.PERCENTILE.INC($B$2:$B$288,0.2),5,B215&lt;=_xlfn.PERCENTILE.INC($B$2:$B$288,0.4),4,B215&lt;=_xlfn.PERCENTILE.INC($B$2:$B$288,0.6),3,B215&lt;=_xlfn.PERCENTILE.INC($B$2:$B$288,0.8),2,TRUE,1)</f>
        <v>4</v>
      </c>
      <c r="F215" s="1" cm="1">
        <f t="array" ref="F215">_xlfn.IFS(C215&gt;=_xlfn.PERCENTILE.INC($C$2:$C$288,0.8),5,C215&gt;=_xlfn.PERCENTILE.INC($C$2:$C$288,0.6),4,C215&gt;=_xlfn.PERCENTILE.INC($C$2:$C$288,0.4),3,C215&gt;=_xlfn.PERCENTILE.INC($C$2:$C$288,0.2),2,TRUE,1)</f>
        <v>5</v>
      </c>
      <c r="G215" s="1" cm="1">
        <f t="array" ref="G215">_xlfn.IFS(D215&gt;=_xlfn.PERCENTILE.INC($D$2:$D$288,0.8),5,D215&gt;=_xlfn.PERCENTILE.INC($D$2:$D$288,0.6),4,D215&gt;=_xlfn.PERCENTILE.INC($D$2:$D$288,0.4),3,D215&gt;=_xlfn.PERCENTILE.INC($D$2:$D$288,0.2),2,TRUE,1)</f>
        <v>4</v>
      </c>
      <c r="H215" s="1">
        <f t="shared" si="3"/>
        <v>13</v>
      </c>
      <c r="I215" s="1" t="str" cm="1">
        <f t="array" ref="I215">_xlfn.IFS(H215&gt;=13,"Best Customers",H215&gt;=10,"Loyal Customers",H215&gt;=7,"Potential Loyal Customers",H215&gt;=4,"Need Attention",TRUE,"At Risk")</f>
        <v>Best Customers</v>
      </c>
    </row>
    <row r="216" spans="1:9">
      <c r="A216" s="1" t="s">
        <v>300</v>
      </c>
      <c r="B216" s="9">
        <v>5.5908680556021899</v>
      </c>
      <c r="C216" s="1">
        <v>6</v>
      </c>
      <c r="D216" s="4">
        <v>116.16</v>
      </c>
      <c r="E216" s="1" cm="1">
        <f t="array" ref="E216">_xlfn.IFS(B216&lt;=_xlfn.PERCENTILE.INC($B$2:$B$288,0.2),5,B216&lt;=_xlfn.PERCENTILE.INC($B$2:$B$288,0.4),4,B216&lt;=_xlfn.PERCENTILE.INC($B$2:$B$288,0.6),3,B216&lt;=_xlfn.PERCENTILE.INC($B$2:$B$288,0.8),2,TRUE,1)</f>
        <v>5</v>
      </c>
      <c r="F216" s="1" cm="1">
        <f t="array" ref="F216">_xlfn.IFS(C216&gt;=_xlfn.PERCENTILE.INC($C$2:$C$288,0.8),5,C216&gt;=_xlfn.PERCENTILE.INC($C$2:$C$288,0.6),4,C216&gt;=_xlfn.PERCENTILE.INC($C$2:$C$288,0.4),3,C216&gt;=_xlfn.PERCENTILE.INC($C$2:$C$288,0.2),2,TRUE,1)</f>
        <v>5</v>
      </c>
      <c r="G216" s="1" cm="1">
        <f t="array" ref="G216">_xlfn.IFS(D216&gt;=_xlfn.PERCENTILE.INC($D$2:$D$288,0.8),5,D216&gt;=_xlfn.PERCENTILE.INC($D$2:$D$288,0.6),4,D216&gt;=_xlfn.PERCENTILE.INC($D$2:$D$288,0.4),3,D216&gt;=_xlfn.PERCENTILE.INC($D$2:$D$288,0.2),2,TRUE,1)</f>
        <v>5</v>
      </c>
      <c r="H216" s="1">
        <f t="shared" si="3"/>
        <v>15</v>
      </c>
      <c r="I216" s="1" t="str" cm="1">
        <f t="array" ref="I216">_xlfn.IFS(H216&gt;=13,"Best Customers",H216&gt;=10,"Loyal Customers",H216&gt;=7,"Potential Loyal Customers",H216&gt;=4,"Need Attention",TRUE,"At Risk")</f>
        <v>Best Customers</v>
      </c>
    </row>
    <row r="217" spans="1:9">
      <c r="A217" s="1" t="s">
        <v>114</v>
      </c>
      <c r="B217" s="9">
        <v>100.590868055602</v>
      </c>
      <c r="C217" s="1">
        <v>3</v>
      </c>
      <c r="D217" s="4">
        <v>24.72</v>
      </c>
      <c r="E217" s="1" cm="1">
        <f t="array" ref="E217">_xlfn.IFS(B217&lt;=_xlfn.PERCENTILE.INC($B$2:$B$288,0.2),5,B217&lt;=_xlfn.PERCENTILE.INC($B$2:$B$288,0.4),4,B217&lt;=_xlfn.PERCENTILE.INC($B$2:$B$288,0.6),3,B217&lt;=_xlfn.PERCENTILE.INC($B$2:$B$288,0.8),2,TRUE,1)</f>
        <v>3</v>
      </c>
      <c r="F217" s="1" cm="1">
        <f t="array" ref="F217">_xlfn.IFS(C217&gt;=_xlfn.PERCENTILE.INC($C$2:$C$288,0.8),5,C217&gt;=_xlfn.PERCENTILE.INC($C$2:$C$288,0.6),4,C217&gt;=_xlfn.PERCENTILE.INC($C$2:$C$288,0.4),3,C217&gt;=_xlfn.PERCENTILE.INC($C$2:$C$288,0.2),2,TRUE,1)</f>
        <v>3</v>
      </c>
      <c r="G217" s="1" cm="1">
        <f t="array" ref="G217">_xlfn.IFS(D217&gt;=_xlfn.PERCENTILE.INC($D$2:$D$288,0.8),5,D217&gt;=_xlfn.PERCENTILE.INC($D$2:$D$288,0.6),4,D217&gt;=_xlfn.PERCENTILE.INC($D$2:$D$288,0.4),3,D217&gt;=_xlfn.PERCENTILE.INC($D$2:$D$288,0.2),2,TRUE,1)</f>
        <v>1</v>
      </c>
      <c r="H217" s="1">
        <f t="shared" si="3"/>
        <v>7</v>
      </c>
      <c r="I217" s="1" t="str" cm="1">
        <f t="array" ref="I217">_xlfn.IFS(H217&gt;=13,"Best Customers",H217&gt;=10,"Loyal Customers",H217&gt;=7,"Potential Loyal Customers",H217&gt;=4,"Need Attention",TRUE,"At Risk")</f>
        <v>Potential Loyal Customers</v>
      </c>
    </row>
    <row r="218" spans="1:9">
      <c r="A218" s="1" t="s">
        <v>418</v>
      </c>
      <c r="B218" s="9">
        <v>19.590868055602201</v>
      </c>
      <c r="C218" s="1">
        <v>7</v>
      </c>
      <c r="D218" s="4">
        <v>108.13</v>
      </c>
      <c r="E218" s="1" cm="1">
        <f t="array" ref="E218">_xlfn.IFS(B218&lt;=_xlfn.PERCENTILE.INC($B$2:$B$288,0.2),5,B218&lt;=_xlfn.PERCENTILE.INC($B$2:$B$288,0.4),4,B218&lt;=_xlfn.PERCENTILE.INC($B$2:$B$288,0.6),3,B218&lt;=_xlfn.PERCENTILE.INC($B$2:$B$288,0.8),2,TRUE,1)</f>
        <v>5</v>
      </c>
      <c r="F218" s="1" cm="1">
        <f t="array" ref="F218">_xlfn.IFS(C218&gt;=_xlfn.PERCENTILE.INC($C$2:$C$288,0.8),5,C218&gt;=_xlfn.PERCENTILE.INC($C$2:$C$288,0.6),4,C218&gt;=_xlfn.PERCENTILE.INC($C$2:$C$288,0.4),3,C218&gt;=_xlfn.PERCENTILE.INC($C$2:$C$288,0.2),2,TRUE,1)</f>
        <v>5</v>
      </c>
      <c r="G218" s="1" cm="1">
        <f t="array" ref="G218">_xlfn.IFS(D218&gt;=_xlfn.PERCENTILE.INC($D$2:$D$288,0.8),5,D218&gt;=_xlfn.PERCENTILE.INC($D$2:$D$288,0.6),4,D218&gt;=_xlfn.PERCENTILE.INC($D$2:$D$288,0.4),3,D218&gt;=_xlfn.PERCENTILE.INC($D$2:$D$288,0.2),2,TRUE,1)</f>
        <v>5</v>
      </c>
      <c r="H218" s="1">
        <f t="shared" si="3"/>
        <v>15</v>
      </c>
      <c r="I218" s="1" t="str" cm="1">
        <f t="array" ref="I218">_xlfn.IFS(H218&gt;=13,"Best Customers",H218&gt;=10,"Loyal Customers",H218&gt;=7,"Potential Loyal Customers",H218&gt;=4,"Need Attention",TRUE,"At Risk")</f>
        <v>Best Customers</v>
      </c>
    </row>
    <row r="219" spans="1:9">
      <c r="A219" s="1" t="s">
        <v>519</v>
      </c>
      <c r="B219" s="9">
        <v>61.590868055602201</v>
      </c>
      <c r="C219" s="1">
        <v>6</v>
      </c>
      <c r="D219" s="4">
        <v>126.89</v>
      </c>
      <c r="E219" s="1" cm="1">
        <f t="array" ref="E219">_xlfn.IFS(B219&lt;=_xlfn.PERCENTILE.INC($B$2:$B$288,0.2),5,B219&lt;=_xlfn.PERCENTILE.INC($B$2:$B$288,0.4),4,B219&lt;=_xlfn.PERCENTILE.INC($B$2:$B$288,0.6),3,B219&lt;=_xlfn.PERCENTILE.INC($B$2:$B$288,0.8),2,TRUE,1)</f>
        <v>3</v>
      </c>
      <c r="F219" s="1" cm="1">
        <f t="array" ref="F219">_xlfn.IFS(C219&gt;=_xlfn.PERCENTILE.INC($C$2:$C$288,0.8),5,C219&gt;=_xlfn.PERCENTILE.INC($C$2:$C$288,0.6),4,C219&gt;=_xlfn.PERCENTILE.INC($C$2:$C$288,0.4),3,C219&gt;=_xlfn.PERCENTILE.INC($C$2:$C$288,0.2),2,TRUE,1)</f>
        <v>5</v>
      </c>
      <c r="G219" s="1" cm="1">
        <f t="array" ref="G219">_xlfn.IFS(D219&gt;=_xlfn.PERCENTILE.INC($D$2:$D$288,0.8),5,D219&gt;=_xlfn.PERCENTILE.INC($D$2:$D$288,0.6),4,D219&gt;=_xlfn.PERCENTILE.INC($D$2:$D$288,0.4),3,D219&gt;=_xlfn.PERCENTILE.INC($D$2:$D$288,0.2),2,TRUE,1)</f>
        <v>5</v>
      </c>
      <c r="H219" s="1">
        <f t="shared" si="3"/>
        <v>13</v>
      </c>
      <c r="I219" s="1" t="str" cm="1">
        <f t="array" ref="I219">_xlfn.IFS(H219&gt;=13,"Best Customers",H219&gt;=10,"Loyal Customers",H219&gt;=7,"Potential Loyal Customers",H219&gt;=4,"Need Attention",TRUE,"At Risk")</f>
        <v>Best Customers</v>
      </c>
    </row>
    <row r="220" spans="1:9">
      <c r="A220" s="1" t="s">
        <v>159</v>
      </c>
      <c r="B220" s="9">
        <v>65.590868055602201</v>
      </c>
      <c r="C220" s="1">
        <v>4</v>
      </c>
      <c r="D220" s="4">
        <v>37.58</v>
      </c>
      <c r="E220" s="1" cm="1">
        <f t="array" ref="E220">_xlfn.IFS(B220&lt;=_xlfn.PERCENTILE.INC($B$2:$B$288,0.2),5,B220&lt;=_xlfn.PERCENTILE.INC($B$2:$B$288,0.4),4,B220&lt;=_xlfn.PERCENTILE.INC($B$2:$B$288,0.6),3,B220&lt;=_xlfn.PERCENTILE.INC($B$2:$B$288,0.8),2,TRUE,1)</f>
        <v>3</v>
      </c>
      <c r="F220" s="1" cm="1">
        <f t="array" ref="F220">_xlfn.IFS(C220&gt;=_xlfn.PERCENTILE.INC($C$2:$C$288,0.8),5,C220&gt;=_xlfn.PERCENTILE.INC($C$2:$C$288,0.6),4,C220&gt;=_xlfn.PERCENTILE.INC($C$2:$C$288,0.4),3,C220&gt;=_xlfn.PERCENTILE.INC($C$2:$C$288,0.2),2,TRUE,1)</f>
        <v>4</v>
      </c>
      <c r="G220" s="1" cm="1">
        <f t="array" ref="G220">_xlfn.IFS(D220&gt;=_xlfn.PERCENTILE.INC($D$2:$D$288,0.8),5,D220&gt;=_xlfn.PERCENTILE.INC($D$2:$D$288,0.6),4,D220&gt;=_xlfn.PERCENTILE.INC($D$2:$D$288,0.4),3,D220&gt;=_xlfn.PERCENTILE.INC($D$2:$D$288,0.2),2,TRUE,1)</f>
        <v>2</v>
      </c>
      <c r="H220" s="1">
        <f t="shared" si="3"/>
        <v>9</v>
      </c>
      <c r="I220" s="1" t="str" cm="1">
        <f t="array" ref="I220">_xlfn.IFS(H220&gt;=13,"Best Customers",H220&gt;=10,"Loyal Customers",H220&gt;=7,"Potential Loyal Customers",H220&gt;=4,"Need Attention",TRUE,"At Risk")</f>
        <v>Potential Loyal Customers</v>
      </c>
    </row>
    <row r="221" spans="1:9">
      <c r="A221" s="1" t="s">
        <v>64</v>
      </c>
      <c r="B221" s="9">
        <v>63.590868055602201</v>
      </c>
      <c r="C221" s="1">
        <v>4</v>
      </c>
      <c r="D221" s="4">
        <v>70.73</v>
      </c>
      <c r="E221" s="1" cm="1">
        <f t="array" ref="E221">_xlfn.IFS(B221&lt;=_xlfn.PERCENTILE.INC($B$2:$B$288,0.2),5,B221&lt;=_xlfn.PERCENTILE.INC($B$2:$B$288,0.4),4,B221&lt;=_xlfn.PERCENTILE.INC($B$2:$B$288,0.6),3,B221&lt;=_xlfn.PERCENTILE.INC($B$2:$B$288,0.8),2,TRUE,1)</f>
        <v>3</v>
      </c>
      <c r="F221" s="1" cm="1">
        <f t="array" ref="F221">_xlfn.IFS(C221&gt;=_xlfn.PERCENTILE.INC($C$2:$C$288,0.8),5,C221&gt;=_xlfn.PERCENTILE.INC($C$2:$C$288,0.6),4,C221&gt;=_xlfn.PERCENTILE.INC($C$2:$C$288,0.4),3,C221&gt;=_xlfn.PERCENTILE.INC($C$2:$C$288,0.2),2,TRUE,1)</f>
        <v>4</v>
      </c>
      <c r="G221" s="1" cm="1">
        <f t="array" ref="G221">_xlfn.IFS(D221&gt;=_xlfn.PERCENTILE.INC($D$2:$D$288,0.8),5,D221&gt;=_xlfn.PERCENTILE.INC($D$2:$D$288,0.6),4,D221&gt;=_xlfn.PERCENTILE.INC($D$2:$D$288,0.4),3,D221&gt;=_xlfn.PERCENTILE.INC($D$2:$D$288,0.2),2,TRUE,1)</f>
        <v>4</v>
      </c>
      <c r="H221" s="1">
        <f t="shared" si="3"/>
        <v>11</v>
      </c>
      <c r="I221" s="1" t="str" cm="1">
        <f t="array" ref="I221">_xlfn.IFS(H221&gt;=13,"Best Customers",H221&gt;=10,"Loyal Customers",H221&gt;=7,"Potential Loyal Customers",H221&gt;=4,"Need Attention",TRUE,"At Risk")</f>
        <v>Loyal Customers</v>
      </c>
    </row>
    <row r="222" spans="1:9">
      <c r="A222" s="1" t="s">
        <v>136</v>
      </c>
      <c r="B222" s="9">
        <v>59.590868055602201</v>
      </c>
      <c r="C222" s="1">
        <v>3</v>
      </c>
      <c r="D222" s="4">
        <v>55.25</v>
      </c>
      <c r="E222" s="1" cm="1">
        <f t="array" ref="E222">_xlfn.IFS(B222&lt;=_xlfn.PERCENTILE.INC($B$2:$B$288,0.2),5,B222&lt;=_xlfn.PERCENTILE.INC($B$2:$B$288,0.4),4,B222&lt;=_xlfn.PERCENTILE.INC($B$2:$B$288,0.6),3,B222&lt;=_xlfn.PERCENTILE.INC($B$2:$B$288,0.8),2,TRUE,1)</f>
        <v>3</v>
      </c>
      <c r="F222" s="1" cm="1">
        <f t="array" ref="F222">_xlfn.IFS(C222&gt;=_xlfn.PERCENTILE.INC($C$2:$C$288,0.8),5,C222&gt;=_xlfn.PERCENTILE.INC($C$2:$C$288,0.6),4,C222&gt;=_xlfn.PERCENTILE.INC($C$2:$C$288,0.4),3,C222&gt;=_xlfn.PERCENTILE.INC($C$2:$C$288,0.2),2,TRUE,1)</f>
        <v>3</v>
      </c>
      <c r="G222" s="1" cm="1">
        <f t="array" ref="G222">_xlfn.IFS(D222&gt;=_xlfn.PERCENTILE.INC($D$2:$D$288,0.8),5,D222&gt;=_xlfn.PERCENTILE.INC($D$2:$D$288,0.6),4,D222&gt;=_xlfn.PERCENTILE.INC($D$2:$D$288,0.4),3,D222&gt;=_xlfn.PERCENTILE.INC($D$2:$D$288,0.2),2,TRUE,1)</f>
        <v>3</v>
      </c>
      <c r="H222" s="1">
        <f t="shared" si="3"/>
        <v>9</v>
      </c>
      <c r="I222" s="1" t="str" cm="1">
        <f t="array" ref="I222">_xlfn.IFS(H222&gt;=13,"Best Customers",H222&gt;=10,"Loyal Customers",H222&gt;=7,"Potential Loyal Customers",H222&gt;=4,"Need Attention",TRUE,"At Risk")</f>
        <v>Potential Loyal Customers</v>
      </c>
    </row>
    <row r="223" spans="1:9">
      <c r="A223" s="1" t="s">
        <v>517</v>
      </c>
      <c r="B223" s="9">
        <v>64.590868055602201</v>
      </c>
      <c r="C223" s="1">
        <v>2</v>
      </c>
      <c r="D223" s="4">
        <v>9.94</v>
      </c>
      <c r="E223" s="1" cm="1">
        <f t="array" ref="E223">_xlfn.IFS(B223&lt;=_xlfn.PERCENTILE.INC($B$2:$B$288,0.2),5,B223&lt;=_xlfn.PERCENTILE.INC($B$2:$B$288,0.4),4,B223&lt;=_xlfn.PERCENTILE.INC($B$2:$B$288,0.6),3,B223&lt;=_xlfn.PERCENTILE.INC($B$2:$B$288,0.8),2,TRUE,1)</f>
        <v>3</v>
      </c>
      <c r="F223" s="1" cm="1">
        <f t="array" ref="F223">_xlfn.IFS(C223&gt;=_xlfn.PERCENTILE.INC($C$2:$C$288,0.8),5,C223&gt;=_xlfn.PERCENTILE.INC($C$2:$C$288,0.6),4,C223&gt;=_xlfn.PERCENTILE.INC($C$2:$C$288,0.4),3,C223&gt;=_xlfn.PERCENTILE.INC($C$2:$C$288,0.2),2,TRUE,1)</f>
        <v>2</v>
      </c>
      <c r="G223" s="1" cm="1">
        <f t="array" ref="G223">_xlfn.IFS(D223&gt;=_xlfn.PERCENTILE.INC($D$2:$D$288,0.8),5,D223&gt;=_xlfn.PERCENTILE.INC($D$2:$D$288,0.6),4,D223&gt;=_xlfn.PERCENTILE.INC($D$2:$D$288,0.4),3,D223&gt;=_xlfn.PERCENTILE.INC($D$2:$D$288,0.2),2,TRUE,1)</f>
        <v>1</v>
      </c>
      <c r="H223" s="1">
        <f t="shared" si="3"/>
        <v>6</v>
      </c>
      <c r="I223" s="1" t="str" cm="1">
        <f t="array" ref="I223">_xlfn.IFS(H223&gt;=13,"Best Customers",H223&gt;=10,"Loyal Customers",H223&gt;=7,"Potential Loyal Customers",H223&gt;=4,"Need Attention",TRUE,"At Risk")</f>
        <v>Need Attention</v>
      </c>
    </row>
    <row r="224" spans="1:9">
      <c r="A224" s="1" t="s">
        <v>804</v>
      </c>
      <c r="B224" s="9">
        <v>141.59086805560199</v>
      </c>
      <c r="C224" s="1">
        <v>3</v>
      </c>
      <c r="D224" s="4">
        <v>61.04</v>
      </c>
      <c r="E224" s="1" cm="1">
        <f t="array" ref="E224">_xlfn.IFS(B224&lt;=_xlfn.PERCENTILE.INC($B$2:$B$288,0.2),5,B224&lt;=_xlfn.PERCENTILE.INC($B$2:$B$288,0.4),4,B224&lt;=_xlfn.PERCENTILE.INC($B$2:$B$288,0.6),3,B224&lt;=_xlfn.PERCENTILE.INC($B$2:$B$288,0.8),2,TRUE,1)</f>
        <v>2</v>
      </c>
      <c r="F224" s="1" cm="1">
        <f t="array" ref="F224">_xlfn.IFS(C224&gt;=_xlfn.PERCENTILE.INC($C$2:$C$288,0.8),5,C224&gt;=_xlfn.PERCENTILE.INC($C$2:$C$288,0.6),4,C224&gt;=_xlfn.PERCENTILE.INC($C$2:$C$288,0.4),3,C224&gt;=_xlfn.PERCENTILE.INC($C$2:$C$288,0.2),2,TRUE,1)</f>
        <v>3</v>
      </c>
      <c r="G224" s="1" cm="1">
        <f t="array" ref="G224">_xlfn.IFS(D224&gt;=_xlfn.PERCENTILE.INC($D$2:$D$288,0.8),5,D224&gt;=_xlfn.PERCENTILE.INC($D$2:$D$288,0.6),4,D224&gt;=_xlfn.PERCENTILE.INC($D$2:$D$288,0.4),3,D224&gt;=_xlfn.PERCENTILE.INC($D$2:$D$288,0.2),2,TRUE,1)</f>
        <v>3</v>
      </c>
      <c r="H224" s="1">
        <f t="shared" si="3"/>
        <v>8</v>
      </c>
      <c r="I224" s="1" t="str" cm="1">
        <f t="array" ref="I224">_xlfn.IFS(H224&gt;=13,"Best Customers",H224&gt;=10,"Loyal Customers",H224&gt;=7,"Potential Loyal Customers",H224&gt;=4,"Need Attention",TRUE,"At Risk")</f>
        <v>Potential Loyal Customers</v>
      </c>
    </row>
    <row r="225" spans="1:9">
      <c r="A225" s="1" t="s">
        <v>405</v>
      </c>
      <c r="B225" s="9">
        <v>88.590868055602201</v>
      </c>
      <c r="C225" s="1">
        <v>2</v>
      </c>
      <c r="D225" s="4">
        <v>22.16</v>
      </c>
      <c r="E225" s="1" cm="1">
        <f t="array" ref="E225">_xlfn.IFS(B225&lt;=_xlfn.PERCENTILE.INC($B$2:$B$288,0.2),5,B225&lt;=_xlfn.PERCENTILE.INC($B$2:$B$288,0.4),4,B225&lt;=_xlfn.PERCENTILE.INC($B$2:$B$288,0.6),3,B225&lt;=_xlfn.PERCENTILE.INC($B$2:$B$288,0.8),2,TRUE,1)</f>
        <v>3</v>
      </c>
      <c r="F225" s="1" cm="1">
        <f t="array" ref="F225">_xlfn.IFS(C225&gt;=_xlfn.PERCENTILE.INC($C$2:$C$288,0.8),5,C225&gt;=_xlfn.PERCENTILE.INC($C$2:$C$288,0.6),4,C225&gt;=_xlfn.PERCENTILE.INC($C$2:$C$288,0.4),3,C225&gt;=_xlfn.PERCENTILE.INC($C$2:$C$288,0.2),2,TRUE,1)</f>
        <v>2</v>
      </c>
      <c r="G225" s="1" cm="1">
        <f t="array" ref="G225">_xlfn.IFS(D225&gt;=_xlfn.PERCENTILE.INC($D$2:$D$288,0.8),5,D225&gt;=_xlfn.PERCENTILE.INC($D$2:$D$288,0.6),4,D225&gt;=_xlfn.PERCENTILE.INC($D$2:$D$288,0.4),3,D225&gt;=_xlfn.PERCENTILE.INC($D$2:$D$288,0.2),2,TRUE,1)</f>
        <v>1</v>
      </c>
      <c r="H225" s="1">
        <f t="shared" si="3"/>
        <v>6</v>
      </c>
      <c r="I225" s="1" t="str" cm="1">
        <f t="array" ref="I225">_xlfn.IFS(H225&gt;=13,"Best Customers",H225&gt;=10,"Loyal Customers",H225&gt;=7,"Potential Loyal Customers",H225&gt;=4,"Need Attention",TRUE,"At Risk")</f>
        <v>Need Attention</v>
      </c>
    </row>
    <row r="226" spans="1:9">
      <c r="A226" s="1" t="s">
        <v>452</v>
      </c>
      <c r="B226" s="9">
        <v>28.590868055602201</v>
      </c>
      <c r="C226" s="1">
        <v>2</v>
      </c>
      <c r="D226" s="4">
        <v>54.57</v>
      </c>
      <c r="E226" s="1" cm="1">
        <f t="array" ref="E226">_xlfn.IFS(B226&lt;=_xlfn.PERCENTILE.INC($B$2:$B$288,0.2),5,B226&lt;=_xlfn.PERCENTILE.INC($B$2:$B$288,0.4),4,B226&lt;=_xlfn.PERCENTILE.INC($B$2:$B$288,0.6),3,B226&lt;=_xlfn.PERCENTILE.INC($B$2:$B$288,0.8),2,TRUE,1)</f>
        <v>4</v>
      </c>
      <c r="F226" s="1" cm="1">
        <f t="array" ref="F226">_xlfn.IFS(C226&gt;=_xlfn.PERCENTILE.INC($C$2:$C$288,0.8),5,C226&gt;=_xlfn.PERCENTILE.INC($C$2:$C$288,0.6),4,C226&gt;=_xlfn.PERCENTILE.INC($C$2:$C$288,0.4),3,C226&gt;=_xlfn.PERCENTILE.INC($C$2:$C$288,0.2),2,TRUE,1)</f>
        <v>2</v>
      </c>
      <c r="G226" s="1" cm="1">
        <f t="array" ref="G226">_xlfn.IFS(D226&gt;=_xlfn.PERCENTILE.INC($D$2:$D$288,0.8),5,D226&gt;=_xlfn.PERCENTILE.INC($D$2:$D$288,0.6),4,D226&gt;=_xlfn.PERCENTILE.INC($D$2:$D$288,0.4),3,D226&gt;=_xlfn.PERCENTILE.INC($D$2:$D$288,0.2),2,TRUE,1)</f>
        <v>3</v>
      </c>
      <c r="H226" s="1">
        <f t="shared" si="3"/>
        <v>9</v>
      </c>
      <c r="I226" s="1" t="str" cm="1">
        <f t="array" ref="I226">_xlfn.IFS(H226&gt;=13,"Best Customers",H226&gt;=10,"Loyal Customers",H226&gt;=7,"Potential Loyal Customers",H226&gt;=4,"Need Attention",TRUE,"At Risk")</f>
        <v>Potential Loyal Customers</v>
      </c>
    </row>
    <row r="227" spans="1:9">
      <c r="A227" s="1" t="s">
        <v>47</v>
      </c>
      <c r="B227" s="9">
        <v>34.590868055602201</v>
      </c>
      <c r="C227" s="1">
        <v>5</v>
      </c>
      <c r="D227" s="4">
        <v>70.13</v>
      </c>
      <c r="E227" s="1" cm="1">
        <f t="array" ref="E227">_xlfn.IFS(B227&lt;=_xlfn.PERCENTILE.INC($B$2:$B$288,0.2),5,B227&lt;=_xlfn.PERCENTILE.INC($B$2:$B$288,0.4),4,B227&lt;=_xlfn.PERCENTILE.INC($B$2:$B$288,0.6),3,B227&lt;=_xlfn.PERCENTILE.INC($B$2:$B$288,0.8),2,TRUE,1)</f>
        <v>4</v>
      </c>
      <c r="F227" s="1" cm="1">
        <f t="array" ref="F227">_xlfn.IFS(C227&gt;=_xlfn.PERCENTILE.INC($C$2:$C$288,0.8),5,C227&gt;=_xlfn.PERCENTILE.INC($C$2:$C$288,0.6),4,C227&gt;=_xlfn.PERCENTILE.INC($C$2:$C$288,0.4),3,C227&gt;=_xlfn.PERCENTILE.INC($C$2:$C$288,0.2),2,TRUE,1)</f>
        <v>5</v>
      </c>
      <c r="G227" s="1" cm="1">
        <f t="array" ref="G227">_xlfn.IFS(D227&gt;=_xlfn.PERCENTILE.INC($D$2:$D$288,0.8),5,D227&gt;=_xlfn.PERCENTILE.INC($D$2:$D$288,0.6),4,D227&gt;=_xlfn.PERCENTILE.INC($D$2:$D$288,0.4),3,D227&gt;=_xlfn.PERCENTILE.INC($D$2:$D$288,0.2),2,TRUE,1)</f>
        <v>4</v>
      </c>
      <c r="H227" s="1">
        <f t="shared" si="3"/>
        <v>13</v>
      </c>
      <c r="I227" s="1" t="str" cm="1">
        <f t="array" ref="I227">_xlfn.IFS(H227&gt;=13,"Best Customers",H227&gt;=10,"Loyal Customers",H227&gt;=7,"Potential Loyal Customers",H227&gt;=4,"Need Attention",TRUE,"At Risk")</f>
        <v>Best Customers</v>
      </c>
    </row>
    <row r="228" spans="1:9">
      <c r="A228" s="1" t="s">
        <v>86</v>
      </c>
      <c r="B228" s="9">
        <v>1.5908680556021899</v>
      </c>
      <c r="C228" s="1">
        <v>5</v>
      </c>
      <c r="D228" s="4">
        <v>92.73</v>
      </c>
      <c r="E228" s="1" cm="1">
        <f t="array" ref="E228">_xlfn.IFS(B228&lt;=_xlfn.PERCENTILE.INC($B$2:$B$288,0.2),5,B228&lt;=_xlfn.PERCENTILE.INC($B$2:$B$288,0.4),4,B228&lt;=_xlfn.PERCENTILE.INC($B$2:$B$288,0.6),3,B228&lt;=_xlfn.PERCENTILE.INC($B$2:$B$288,0.8),2,TRUE,1)</f>
        <v>5</v>
      </c>
      <c r="F228" s="1" cm="1">
        <f t="array" ref="F228">_xlfn.IFS(C228&gt;=_xlfn.PERCENTILE.INC($C$2:$C$288,0.8),5,C228&gt;=_xlfn.PERCENTILE.INC($C$2:$C$288,0.6),4,C228&gt;=_xlfn.PERCENTILE.INC($C$2:$C$288,0.4),3,C228&gt;=_xlfn.PERCENTILE.INC($C$2:$C$288,0.2),2,TRUE,1)</f>
        <v>5</v>
      </c>
      <c r="G228" s="1" cm="1">
        <f t="array" ref="G228">_xlfn.IFS(D228&gt;=_xlfn.PERCENTILE.INC($D$2:$D$288,0.8),5,D228&gt;=_xlfn.PERCENTILE.INC($D$2:$D$288,0.6),4,D228&gt;=_xlfn.PERCENTILE.INC($D$2:$D$288,0.4),3,D228&gt;=_xlfn.PERCENTILE.INC($D$2:$D$288,0.2),2,TRUE,1)</f>
        <v>5</v>
      </c>
      <c r="H228" s="1">
        <f t="shared" si="3"/>
        <v>15</v>
      </c>
      <c r="I228" s="1" t="str" cm="1">
        <f t="array" ref="I228">_xlfn.IFS(H228&gt;=13,"Best Customers",H228&gt;=10,"Loyal Customers",H228&gt;=7,"Potential Loyal Customers",H228&gt;=4,"Need Attention",TRUE,"At Risk")</f>
        <v>Best Customers</v>
      </c>
    </row>
    <row r="229" spans="1:9">
      <c r="A229" s="1" t="s">
        <v>992</v>
      </c>
      <c r="B229" s="9">
        <v>168.59086805560199</v>
      </c>
      <c r="C229" s="1">
        <v>1</v>
      </c>
      <c r="D229" s="4">
        <v>34.880000000000003</v>
      </c>
      <c r="E229" s="1" cm="1">
        <f t="array" ref="E229">_xlfn.IFS(B229&lt;=_xlfn.PERCENTILE.INC($B$2:$B$288,0.2),5,B229&lt;=_xlfn.PERCENTILE.INC($B$2:$B$288,0.4),4,B229&lt;=_xlfn.PERCENTILE.INC($B$2:$B$288,0.6),3,B229&lt;=_xlfn.PERCENTILE.INC($B$2:$B$288,0.8),2,TRUE,1)</f>
        <v>2</v>
      </c>
      <c r="F229" s="1" cm="1">
        <f t="array" ref="F229">_xlfn.IFS(C229&gt;=_xlfn.PERCENTILE.INC($C$2:$C$288,0.8),5,C229&gt;=_xlfn.PERCENTILE.INC($C$2:$C$288,0.6),4,C229&gt;=_xlfn.PERCENTILE.INC($C$2:$C$288,0.4),3,C229&gt;=_xlfn.PERCENTILE.INC($C$2:$C$288,0.2),2,TRUE,1)</f>
        <v>1</v>
      </c>
      <c r="G229" s="1" cm="1">
        <f t="array" ref="G229">_xlfn.IFS(D229&gt;=_xlfn.PERCENTILE.INC($D$2:$D$288,0.8),5,D229&gt;=_xlfn.PERCENTILE.INC($D$2:$D$288,0.6),4,D229&gt;=_xlfn.PERCENTILE.INC($D$2:$D$288,0.4),3,D229&gt;=_xlfn.PERCENTILE.INC($D$2:$D$288,0.2),2,TRUE,1)</f>
        <v>2</v>
      </c>
      <c r="H229" s="1">
        <f t="shared" si="3"/>
        <v>5</v>
      </c>
      <c r="I229" s="1" t="str" cm="1">
        <f t="array" ref="I229">_xlfn.IFS(H229&gt;=13,"Best Customers",H229&gt;=10,"Loyal Customers",H229&gt;=7,"Potential Loyal Customers",H229&gt;=4,"Need Attention",TRUE,"At Risk")</f>
        <v>Need Attention</v>
      </c>
    </row>
    <row r="230" spans="1:9">
      <c r="A230" s="1" t="s">
        <v>359</v>
      </c>
      <c r="B230" s="9">
        <v>81.590868055602201</v>
      </c>
      <c r="C230" s="1">
        <v>4</v>
      </c>
      <c r="D230" s="4">
        <v>85.9</v>
      </c>
      <c r="E230" s="1" cm="1">
        <f t="array" ref="E230">_xlfn.IFS(B230&lt;=_xlfn.PERCENTILE.INC($B$2:$B$288,0.2),5,B230&lt;=_xlfn.PERCENTILE.INC($B$2:$B$288,0.4),4,B230&lt;=_xlfn.PERCENTILE.INC($B$2:$B$288,0.6),3,B230&lt;=_xlfn.PERCENTILE.INC($B$2:$B$288,0.8),2,TRUE,1)</f>
        <v>3</v>
      </c>
      <c r="F230" s="1" cm="1">
        <f t="array" ref="F230">_xlfn.IFS(C230&gt;=_xlfn.PERCENTILE.INC($C$2:$C$288,0.8),5,C230&gt;=_xlfn.PERCENTILE.INC($C$2:$C$288,0.6),4,C230&gt;=_xlfn.PERCENTILE.INC($C$2:$C$288,0.4),3,C230&gt;=_xlfn.PERCENTILE.INC($C$2:$C$288,0.2),2,TRUE,1)</f>
        <v>4</v>
      </c>
      <c r="G230" s="1" cm="1">
        <f t="array" ref="G230">_xlfn.IFS(D230&gt;=_xlfn.PERCENTILE.INC($D$2:$D$288,0.8),5,D230&gt;=_xlfn.PERCENTILE.INC($D$2:$D$288,0.6),4,D230&gt;=_xlfn.PERCENTILE.INC($D$2:$D$288,0.4),3,D230&gt;=_xlfn.PERCENTILE.INC($D$2:$D$288,0.2),2,TRUE,1)</f>
        <v>4</v>
      </c>
      <c r="H230" s="1">
        <f t="shared" si="3"/>
        <v>11</v>
      </c>
      <c r="I230" s="1" t="str" cm="1">
        <f t="array" ref="I230">_xlfn.IFS(H230&gt;=13,"Best Customers",H230&gt;=10,"Loyal Customers",H230&gt;=7,"Potential Loyal Customers",H230&gt;=4,"Need Attention",TRUE,"At Risk")</f>
        <v>Loyal Customers</v>
      </c>
    </row>
    <row r="231" spans="1:9">
      <c r="A231" s="1" t="s">
        <v>1049</v>
      </c>
      <c r="B231" s="9">
        <v>17.590868055602201</v>
      </c>
      <c r="C231" s="1">
        <v>1</v>
      </c>
      <c r="D231" s="4">
        <v>12.43</v>
      </c>
      <c r="E231" s="1" cm="1">
        <f t="array" ref="E231">_xlfn.IFS(B231&lt;=_xlfn.PERCENTILE.INC($B$2:$B$288,0.2),5,B231&lt;=_xlfn.PERCENTILE.INC($B$2:$B$288,0.4),4,B231&lt;=_xlfn.PERCENTILE.INC($B$2:$B$288,0.6),3,B231&lt;=_xlfn.PERCENTILE.INC($B$2:$B$288,0.8),2,TRUE,1)</f>
        <v>5</v>
      </c>
      <c r="F231" s="1" cm="1">
        <f t="array" ref="F231">_xlfn.IFS(C231&gt;=_xlfn.PERCENTILE.INC($C$2:$C$288,0.8),5,C231&gt;=_xlfn.PERCENTILE.INC($C$2:$C$288,0.6),4,C231&gt;=_xlfn.PERCENTILE.INC($C$2:$C$288,0.4),3,C231&gt;=_xlfn.PERCENTILE.INC($C$2:$C$288,0.2),2,TRUE,1)</f>
        <v>1</v>
      </c>
      <c r="G231" s="1" cm="1">
        <f t="array" ref="G231">_xlfn.IFS(D231&gt;=_xlfn.PERCENTILE.INC($D$2:$D$288,0.8),5,D231&gt;=_xlfn.PERCENTILE.INC($D$2:$D$288,0.6),4,D231&gt;=_xlfn.PERCENTILE.INC($D$2:$D$288,0.4),3,D231&gt;=_xlfn.PERCENTILE.INC($D$2:$D$288,0.2),2,TRUE,1)</f>
        <v>1</v>
      </c>
      <c r="H231" s="1">
        <f t="shared" si="3"/>
        <v>7</v>
      </c>
      <c r="I231" s="1" t="str" cm="1">
        <f t="array" ref="I231">_xlfn.IFS(H231&gt;=13,"Best Customers",H231&gt;=10,"Loyal Customers",H231&gt;=7,"Potential Loyal Customers",H231&gt;=4,"Need Attention",TRUE,"At Risk")</f>
        <v>Potential Loyal Customers</v>
      </c>
    </row>
    <row r="232" spans="1:9">
      <c r="A232" s="1" t="s">
        <v>691</v>
      </c>
      <c r="B232" s="9">
        <v>34.590868055602201</v>
      </c>
      <c r="C232" s="1">
        <v>3</v>
      </c>
      <c r="D232" s="4">
        <v>51.7</v>
      </c>
      <c r="E232" s="1" cm="1">
        <f t="array" ref="E232">_xlfn.IFS(B232&lt;=_xlfn.PERCENTILE.INC($B$2:$B$288,0.2),5,B232&lt;=_xlfn.PERCENTILE.INC($B$2:$B$288,0.4),4,B232&lt;=_xlfn.PERCENTILE.INC($B$2:$B$288,0.6),3,B232&lt;=_xlfn.PERCENTILE.INC($B$2:$B$288,0.8),2,TRUE,1)</f>
        <v>4</v>
      </c>
      <c r="F232" s="1" cm="1">
        <f t="array" ref="F232">_xlfn.IFS(C232&gt;=_xlfn.PERCENTILE.INC($C$2:$C$288,0.8),5,C232&gt;=_xlfn.PERCENTILE.INC($C$2:$C$288,0.6),4,C232&gt;=_xlfn.PERCENTILE.INC($C$2:$C$288,0.4),3,C232&gt;=_xlfn.PERCENTILE.INC($C$2:$C$288,0.2),2,TRUE,1)</f>
        <v>3</v>
      </c>
      <c r="G232" s="1" cm="1">
        <f t="array" ref="G232">_xlfn.IFS(D232&gt;=_xlfn.PERCENTILE.INC($D$2:$D$288,0.8),5,D232&gt;=_xlfn.PERCENTILE.INC($D$2:$D$288,0.6),4,D232&gt;=_xlfn.PERCENTILE.INC($D$2:$D$288,0.4),3,D232&gt;=_xlfn.PERCENTILE.INC($D$2:$D$288,0.2),2,TRUE,1)</f>
        <v>3</v>
      </c>
      <c r="H232" s="1">
        <f t="shared" si="3"/>
        <v>10</v>
      </c>
      <c r="I232" s="1" t="str" cm="1">
        <f t="array" ref="I232">_xlfn.IFS(H232&gt;=13,"Best Customers",H232&gt;=10,"Loyal Customers",H232&gt;=7,"Potential Loyal Customers",H232&gt;=4,"Need Attention",TRUE,"At Risk")</f>
        <v>Loyal Customers</v>
      </c>
    </row>
    <row r="233" spans="1:9">
      <c r="A233" s="1" t="s">
        <v>820</v>
      </c>
      <c r="B233" s="9">
        <v>10.590868055602201</v>
      </c>
      <c r="C233" s="1">
        <v>4</v>
      </c>
      <c r="D233" s="4">
        <v>97.14</v>
      </c>
      <c r="E233" s="1" cm="1">
        <f t="array" ref="E233">_xlfn.IFS(B233&lt;=_xlfn.PERCENTILE.INC($B$2:$B$288,0.2),5,B233&lt;=_xlfn.PERCENTILE.INC($B$2:$B$288,0.4),4,B233&lt;=_xlfn.PERCENTILE.INC($B$2:$B$288,0.6),3,B233&lt;=_xlfn.PERCENTILE.INC($B$2:$B$288,0.8),2,TRUE,1)</f>
        <v>5</v>
      </c>
      <c r="F233" s="1" cm="1">
        <f t="array" ref="F233">_xlfn.IFS(C233&gt;=_xlfn.PERCENTILE.INC($C$2:$C$288,0.8),5,C233&gt;=_xlfn.PERCENTILE.INC($C$2:$C$288,0.6),4,C233&gt;=_xlfn.PERCENTILE.INC($C$2:$C$288,0.4),3,C233&gt;=_xlfn.PERCENTILE.INC($C$2:$C$288,0.2),2,TRUE,1)</f>
        <v>4</v>
      </c>
      <c r="G233" s="1" cm="1">
        <f t="array" ref="G233">_xlfn.IFS(D233&gt;=_xlfn.PERCENTILE.INC($D$2:$D$288,0.8),5,D233&gt;=_xlfn.PERCENTILE.INC($D$2:$D$288,0.6),4,D233&gt;=_xlfn.PERCENTILE.INC($D$2:$D$288,0.4),3,D233&gt;=_xlfn.PERCENTILE.INC($D$2:$D$288,0.2),2,TRUE,1)</f>
        <v>5</v>
      </c>
      <c r="H233" s="1">
        <f t="shared" si="3"/>
        <v>14</v>
      </c>
      <c r="I233" s="1" t="str" cm="1">
        <f t="array" ref="I233">_xlfn.IFS(H233&gt;=13,"Best Customers",H233&gt;=10,"Loyal Customers",H233&gt;=7,"Potential Loyal Customers",H233&gt;=4,"Need Attention",TRUE,"At Risk")</f>
        <v>Best Customers</v>
      </c>
    </row>
    <row r="234" spans="1:9">
      <c r="A234" s="1" t="s">
        <v>179</v>
      </c>
      <c r="B234" s="9">
        <v>126.590868055602</v>
      </c>
      <c r="C234" s="1">
        <v>5</v>
      </c>
      <c r="D234" s="4">
        <v>101.22</v>
      </c>
      <c r="E234" s="1" cm="1">
        <f t="array" ref="E234">_xlfn.IFS(B234&lt;=_xlfn.PERCENTILE.INC($B$2:$B$288,0.2),5,B234&lt;=_xlfn.PERCENTILE.INC($B$2:$B$288,0.4),4,B234&lt;=_xlfn.PERCENTILE.INC($B$2:$B$288,0.6),3,B234&lt;=_xlfn.PERCENTILE.INC($B$2:$B$288,0.8),2,TRUE,1)</f>
        <v>2</v>
      </c>
      <c r="F234" s="1" cm="1">
        <f t="array" ref="F234">_xlfn.IFS(C234&gt;=_xlfn.PERCENTILE.INC($C$2:$C$288,0.8),5,C234&gt;=_xlfn.PERCENTILE.INC($C$2:$C$288,0.6),4,C234&gt;=_xlfn.PERCENTILE.INC($C$2:$C$288,0.4),3,C234&gt;=_xlfn.PERCENTILE.INC($C$2:$C$288,0.2),2,TRUE,1)</f>
        <v>5</v>
      </c>
      <c r="G234" s="1" cm="1">
        <f t="array" ref="G234">_xlfn.IFS(D234&gt;=_xlfn.PERCENTILE.INC($D$2:$D$288,0.8),5,D234&gt;=_xlfn.PERCENTILE.INC($D$2:$D$288,0.6),4,D234&gt;=_xlfn.PERCENTILE.INC($D$2:$D$288,0.4),3,D234&gt;=_xlfn.PERCENTILE.INC($D$2:$D$288,0.2),2,TRUE,1)</f>
        <v>5</v>
      </c>
      <c r="H234" s="1">
        <f t="shared" si="3"/>
        <v>12</v>
      </c>
      <c r="I234" s="1" t="str" cm="1">
        <f t="array" ref="I234">_xlfn.IFS(H234&gt;=13,"Best Customers",H234&gt;=10,"Loyal Customers",H234&gt;=7,"Potential Loyal Customers",H234&gt;=4,"Need Attention",TRUE,"At Risk")</f>
        <v>Loyal Customers</v>
      </c>
    </row>
    <row r="235" spans="1:9">
      <c r="A235" s="1" t="s">
        <v>254</v>
      </c>
      <c r="B235" s="9">
        <v>186.59086805560199</v>
      </c>
      <c r="C235" s="1">
        <v>2</v>
      </c>
      <c r="D235" s="4">
        <v>33.43</v>
      </c>
      <c r="E235" s="1" cm="1">
        <f t="array" ref="E235">_xlfn.IFS(B235&lt;=_xlfn.PERCENTILE.INC($B$2:$B$288,0.2),5,B235&lt;=_xlfn.PERCENTILE.INC($B$2:$B$288,0.4),4,B235&lt;=_xlfn.PERCENTILE.INC($B$2:$B$288,0.6),3,B235&lt;=_xlfn.PERCENTILE.INC($B$2:$B$288,0.8),2,TRUE,1)</f>
        <v>1</v>
      </c>
      <c r="F235" s="1" cm="1">
        <f t="array" ref="F235">_xlfn.IFS(C235&gt;=_xlfn.PERCENTILE.INC($C$2:$C$288,0.8),5,C235&gt;=_xlfn.PERCENTILE.INC($C$2:$C$288,0.6),4,C235&gt;=_xlfn.PERCENTILE.INC($C$2:$C$288,0.4),3,C235&gt;=_xlfn.PERCENTILE.INC($C$2:$C$288,0.2),2,TRUE,1)</f>
        <v>2</v>
      </c>
      <c r="G235" s="1" cm="1">
        <f t="array" ref="G235">_xlfn.IFS(D235&gt;=_xlfn.PERCENTILE.INC($D$2:$D$288,0.8),5,D235&gt;=_xlfn.PERCENTILE.INC($D$2:$D$288,0.6),4,D235&gt;=_xlfn.PERCENTILE.INC($D$2:$D$288,0.4),3,D235&gt;=_xlfn.PERCENTILE.INC($D$2:$D$288,0.2),2,TRUE,1)</f>
        <v>2</v>
      </c>
      <c r="H235" s="1">
        <f t="shared" si="3"/>
        <v>5</v>
      </c>
      <c r="I235" s="1" t="str" cm="1">
        <f t="array" ref="I235">_xlfn.IFS(H235&gt;=13,"Best Customers",H235&gt;=10,"Loyal Customers",H235&gt;=7,"Potential Loyal Customers",H235&gt;=4,"Need Attention",TRUE,"At Risk")</f>
        <v>Need Attention</v>
      </c>
    </row>
    <row r="236" spans="1:9">
      <c r="A236" s="1" t="s">
        <v>642</v>
      </c>
      <c r="B236" s="9">
        <v>10.590868055602201</v>
      </c>
      <c r="C236" s="1">
        <v>3</v>
      </c>
      <c r="D236" s="4">
        <v>70.489999999999995</v>
      </c>
      <c r="E236" s="1" cm="1">
        <f t="array" ref="E236">_xlfn.IFS(B236&lt;=_xlfn.PERCENTILE.INC($B$2:$B$288,0.2),5,B236&lt;=_xlfn.PERCENTILE.INC($B$2:$B$288,0.4),4,B236&lt;=_xlfn.PERCENTILE.INC($B$2:$B$288,0.6),3,B236&lt;=_xlfn.PERCENTILE.INC($B$2:$B$288,0.8),2,TRUE,1)</f>
        <v>5</v>
      </c>
      <c r="F236" s="1" cm="1">
        <f t="array" ref="F236">_xlfn.IFS(C236&gt;=_xlfn.PERCENTILE.INC($C$2:$C$288,0.8),5,C236&gt;=_xlfn.PERCENTILE.INC($C$2:$C$288,0.6),4,C236&gt;=_xlfn.PERCENTILE.INC($C$2:$C$288,0.4),3,C236&gt;=_xlfn.PERCENTILE.INC($C$2:$C$288,0.2),2,TRUE,1)</f>
        <v>3</v>
      </c>
      <c r="G236" s="1" cm="1">
        <f t="array" ref="G236">_xlfn.IFS(D236&gt;=_xlfn.PERCENTILE.INC($D$2:$D$288,0.8),5,D236&gt;=_xlfn.PERCENTILE.INC($D$2:$D$288,0.6),4,D236&gt;=_xlfn.PERCENTILE.INC($D$2:$D$288,0.4),3,D236&gt;=_xlfn.PERCENTILE.INC($D$2:$D$288,0.2),2,TRUE,1)</f>
        <v>4</v>
      </c>
      <c r="H236" s="1">
        <f t="shared" si="3"/>
        <v>12</v>
      </c>
      <c r="I236" s="1" t="str" cm="1">
        <f t="array" ref="I236">_xlfn.IFS(H236&gt;=13,"Best Customers",H236&gt;=10,"Loyal Customers",H236&gt;=7,"Potential Loyal Customers",H236&gt;=4,"Need Attention",TRUE,"At Risk")</f>
        <v>Loyal Customers</v>
      </c>
    </row>
    <row r="237" spans="1:9">
      <c r="A237" s="1" t="s">
        <v>448</v>
      </c>
      <c r="B237" s="9">
        <v>163.59086805560199</v>
      </c>
      <c r="C237" s="1">
        <v>3</v>
      </c>
      <c r="D237" s="4">
        <v>37.869999999999997</v>
      </c>
      <c r="E237" s="1" cm="1">
        <f t="array" ref="E237">_xlfn.IFS(B237&lt;=_xlfn.PERCENTILE.INC($B$2:$B$288,0.2),5,B237&lt;=_xlfn.PERCENTILE.INC($B$2:$B$288,0.4),4,B237&lt;=_xlfn.PERCENTILE.INC($B$2:$B$288,0.6),3,B237&lt;=_xlfn.PERCENTILE.INC($B$2:$B$288,0.8),2,TRUE,1)</f>
        <v>2</v>
      </c>
      <c r="F237" s="1" cm="1">
        <f t="array" ref="F237">_xlfn.IFS(C237&gt;=_xlfn.PERCENTILE.INC($C$2:$C$288,0.8),5,C237&gt;=_xlfn.PERCENTILE.INC($C$2:$C$288,0.6),4,C237&gt;=_xlfn.PERCENTILE.INC($C$2:$C$288,0.4),3,C237&gt;=_xlfn.PERCENTILE.INC($C$2:$C$288,0.2),2,TRUE,1)</f>
        <v>3</v>
      </c>
      <c r="G237" s="1" cm="1">
        <f t="array" ref="G237">_xlfn.IFS(D237&gt;=_xlfn.PERCENTILE.INC($D$2:$D$288,0.8),5,D237&gt;=_xlfn.PERCENTILE.INC($D$2:$D$288,0.6),4,D237&gt;=_xlfn.PERCENTILE.INC($D$2:$D$288,0.4),3,D237&gt;=_xlfn.PERCENTILE.INC($D$2:$D$288,0.2),2,TRUE,1)</f>
        <v>2</v>
      </c>
      <c r="H237" s="1">
        <f t="shared" si="3"/>
        <v>7</v>
      </c>
      <c r="I237" s="1" t="str" cm="1">
        <f t="array" ref="I237">_xlfn.IFS(H237&gt;=13,"Best Customers",H237&gt;=10,"Loyal Customers",H237&gt;=7,"Potential Loyal Customers",H237&gt;=4,"Need Attention",TRUE,"At Risk")</f>
        <v>Potential Loyal Customers</v>
      </c>
    </row>
    <row r="238" spans="1:9">
      <c r="A238" s="1" t="s">
        <v>351</v>
      </c>
      <c r="B238" s="9">
        <v>60.590868055602201</v>
      </c>
      <c r="C238" s="1">
        <v>2</v>
      </c>
      <c r="D238" s="4">
        <v>11.96</v>
      </c>
      <c r="E238" s="1" cm="1">
        <f t="array" ref="E238">_xlfn.IFS(B238&lt;=_xlfn.PERCENTILE.INC($B$2:$B$288,0.2),5,B238&lt;=_xlfn.PERCENTILE.INC($B$2:$B$288,0.4),4,B238&lt;=_xlfn.PERCENTILE.INC($B$2:$B$288,0.6),3,B238&lt;=_xlfn.PERCENTILE.INC($B$2:$B$288,0.8),2,TRUE,1)</f>
        <v>3</v>
      </c>
      <c r="F238" s="1" cm="1">
        <f t="array" ref="F238">_xlfn.IFS(C238&gt;=_xlfn.PERCENTILE.INC($C$2:$C$288,0.8),5,C238&gt;=_xlfn.PERCENTILE.INC($C$2:$C$288,0.6),4,C238&gt;=_xlfn.PERCENTILE.INC($C$2:$C$288,0.4),3,C238&gt;=_xlfn.PERCENTILE.INC($C$2:$C$288,0.2),2,TRUE,1)</f>
        <v>2</v>
      </c>
      <c r="G238" s="1" cm="1">
        <f t="array" ref="G238">_xlfn.IFS(D238&gt;=_xlfn.PERCENTILE.INC($D$2:$D$288,0.8),5,D238&gt;=_xlfn.PERCENTILE.INC($D$2:$D$288,0.6),4,D238&gt;=_xlfn.PERCENTILE.INC($D$2:$D$288,0.4),3,D238&gt;=_xlfn.PERCENTILE.INC($D$2:$D$288,0.2),2,TRUE,1)</f>
        <v>1</v>
      </c>
      <c r="H238" s="1">
        <f t="shared" si="3"/>
        <v>6</v>
      </c>
      <c r="I238" s="1" t="str" cm="1">
        <f t="array" ref="I238">_xlfn.IFS(H238&gt;=13,"Best Customers",H238&gt;=10,"Loyal Customers",H238&gt;=7,"Potential Loyal Customers",H238&gt;=4,"Need Attention",TRUE,"At Risk")</f>
        <v>Need Attention</v>
      </c>
    </row>
    <row r="239" spans="1:9">
      <c r="A239" s="1" t="s">
        <v>357</v>
      </c>
      <c r="B239" s="9">
        <v>101.590868055602</v>
      </c>
      <c r="C239" s="1">
        <v>2</v>
      </c>
      <c r="D239" s="4">
        <v>49.29</v>
      </c>
      <c r="E239" s="1" cm="1">
        <f t="array" ref="E239">_xlfn.IFS(B239&lt;=_xlfn.PERCENTILE.INC($B$2:$B$288,0.2),5,B239&lt;=_xlfn.PERCENTILE.INC($B$2:$B$288,0.4),4,B239&lt;=_xlfn.PERCENTILE.INC($B$2:$B$288,0.6),3,B239&lt;=_xlfn.PERCENTILE.INC($B$2:$B$288,0.8),2,TRUE,1)</f>
        <v>3</v>
      </c>
      <c r="F239" s="1" cm="1">
        <f t="array" ref="F239">_xlfn.IFS(C239&gt;=_xlfn.PERCENTILE.INC($C$2:$C$288,0.8),5,C239&gt;=_xlfn.PERCENTILE.INC($C$2:$C$288,0.6),4,C239&gt;=_xlfn.PERCENTILE.INC($C$2:$C$288,0.4),3,C239&gt;=_xlfn.PERCENTILE.INC($C$2:$C$288,0.2),2,TRUE,1)</f>
        <v>2</v>
      </c>
      <c r="G239" s="1" cm="1">
        <f t="array" ref="G239">_xlfn.IFS(D239&gt;=_xlfn.PERCENTILE.INC($D$2:$D$288,0.8),5,D239&gt;=_xlfn.PERCENTILE.INC($D$2:$D$288,0.6),4,D239&gt;=_xlfn.PERCENTILE.INC($D$2:$D$288,0.4),3,D239&gt;=_xlfn.PERCENTILE.INC($D$2:$D$288,0.2),2,TRUE,1)</f>
        <v>3</v>
      </c>
      <c r="H239" s="1">
        <f t="shared" si="3"/>
        <v>8</v>
      </c>
      <c r="I239" s="1" t="str" cm="1">
        <f t="array" ref="I239">_xlfn.IFS(H239&gt;=13,"Best Customers",H239&gt;=10,"Loyal Customers",H239&gt;=7,"Potential Loyal Customers",H239&gt;=4,"Need Attention",TRUE,"At Risk")</f>
        <v>Potential Loyal Customers</v>
      </c>
    </row>
    <row r="240" spans="1:9">
      <c r="A240" s="1" t="s">
        <v>528</v>
      </c>
      <c r="B240" s="9">
        <v>79.590868055602201</v>
      </c>
      <c r="C240" s="1">
        <v>3</v>
      </c>
      <c r="D240" s="4">
        <v>47.45</v>
      </c>
      <c r="E240" s="1" cm="1">
        <f t="array" ref="E240">_xlfn.IFS(B240&lt;=_xlfn.PERCENTILE.INC($B$2:$B$288,0.2),5,B240&lt;=_xlfn.PERCENTILE.INC($B$2:$B$288,0.4),4,B240&lt;=_xlfn.PERCENTILE.INC($B$2:$B$288,0.6),3,B240&lt;=_xlfn.PERCENTILE.INC($B$2:$B$288,0.8),2,TRUE,1)</f>
        <v>3</v>
      </c>
      <c r="F240" s="1" cm="1">
        <f t="array" ref="F240">_xlfn.IFS(C240&gt;=_xlfn.PERCENTILE.INC($C$2:$C$288,0.8),5,C240&gt;=_xlfn.PERCENTILE.INC($C$2:$C$288,0.6),4,C240&gt;=_xlfn.PERCENTILE.INC($C$2:$C$288,0.4),3,C240&gt;=_xlfn.PERCENTILE.INC($C$2:$C$288,0.2),2,TRUE,1)</f>
        <v>3</v>
      </c>
      <c r="G240" s="1" cm="1">
        <f t="array" ref="G240">_xlfn.IFS(D240&gt;=_xlfn.PERCENTILE.INC($D$2:$D$288,0.8),5,D240&gt;=_xlfn.PERCENTILE.INC($D$2:$D$288,0.6),4,D240&gt;=_xlfn.PERCENTILE.INC($D$2:$D$288,0.4),3,D240&gt;=_xlfn.PERCENTILE.INC($D$2:$D$288,0.2),2,TRUE,1)</f>
        <v>3</v>
      </c>
      <c r="H240" s="1">
        <f t="shared" si="3"/>
        <v>9</v>
      </c>
      <c r="I240" s="1" t="str" cm="1">
        <f t="array" ref="I240">_xlfn.IFS(H240&gt;=13,"Best Customers",H240&gt;=10,"Loyal Customers",H240&gt;=7,"Potential Loyal Customers",H240&gt;=4,"Need Attention",TRUE,"At Risk")</f>
        <v>Potential Loyal Customers</v>
      </c>
    </row>
    <row r="241" spans="1:9">
      <c r="A241" s="1" t="s">
        <v>268</v>
      </c>
      <c r="B241" s="9">
        <v>23.590868055602201</v>
      </c>
      <c r="C241" s="1">
        <v>7</v>
      </c>
      <c r="D241" s="4">
        <v>123.67</v>
      </c>
      <c r="E241" s="1" cm="1">
        <f t="array" ref="E241">_xlfn.IFS(B241&lt;=_xlfn.PERCENTILE.INC($B$2:$B$288,0.2),5,B241&lt;=_xlfn.PERCENTILE.INC($B$2:$B$288,0.4),4,B241&lt;=_xlfn.PERCENTILE.INC($B$2:$B$288,0.6),3,B241&lt;=_xlfn.PERCENTILE.INC($B$2:$B$288,0.8),2,TRUE,1)</f>
        <v>5</v>
      </c>
      <c r="F241" s="1" cm="1">
        <f t="array" ref="F241">_xlfn.IFS(C241&gt;=_xlfn.PERCENTILE.INC($C$2:$C$288,0.8),5,C241&gt;=_xlfn.PERCENTILE.INC($C$2:$C$288,0.6),4,C241&gt;=_xlfn.PERCENTILE.INC($C$2:$C$288,0.4),3,C241&gt;=_xlfn.PERCENTILE.INC($C$2:$C$288,0.2),2,TRUE,1)</f>
        <v>5</v>
      </c>
      <c r="G241" s="1" cm="1">
        <f t="array" ref="G241">_xlfn.IFS(D241&gt;=_xlfn.PERCENTILE.INC($D$2:$D$288,0.8),5,D241&gt;=_xlfn.PERCENTILE.INC($D$2:$D$288,0.6),4,D241&gt;=_xlfn.PERCENTILE.INC($D$2:$D$288,0.4),3,D241&gt;=_xlfn.PERCENTILE.INC($D$2:$D$288,0.2),2,TRUE,1)</f>
        <v>5</v>
      </c>
      <c r="H241" s="1">
        <f t="shared" si="3"/>
        <v>15</v>
      </c>
      <c r="I241" s="1" t="str" cm="1">
        <f t="array" ref="I241">_xlfn.IFS(H241&gt;=13,"Best Customers",H241&gt;=10,"Loyal Customers",H241&gt;=7,"Potential Loyal Customers",H241&gt;=4,"Need Attention",TRUE,"At Risk")</f>
        <v>Best Customers</v>
      </c>
    </row>
    <row r="242" spans="1:9">
      <c r="A242" s="1" t="s">
        <v>143</v>
      </c>
      <c r="B242" s="9">
        <v>229.59086805560199</v>
      </c>
      <c r="C242" s="1">
        <v>2</v>
      </c>
      <c r="D242" s="4">
        <v>21.06</v>
      </c>
      <c r="E242" s="1" cm="1">
        <f t="array" ref="E242">_xlfn.IFS(B242&lt;=_xlfn.PERCENTILE.INC($B$2:$B$288,0.2),5,B242&lt;=_xlfn.PERCENTILE.INC($B$2:$B$288,0.4),4,B242&lt;=_xlfn.PERCENTILE.INC($B$2:$B$288,0.6),3,B242&lt;=_xlfn.PERCENTILE.INC($B$2:$B$288,0.8),2,TRUE,1)</f>
        <v>1</v>
      </c>
      <c r="F242" s="1" cm="1">
        <f t="array" ref="F242">_xlfn.IFS(C242&gt;=_xlfn.PERCENTILE.INC($C$2:$C$288,0.8),5,C242&gt;=_xlfn.PERCENTILE.INC($C$2:$C$288,0.6),4,C242&gt;=_xlfn.PERCENTILE.INC($C$2:$C$288,0.4),3,C242&gt;=_xlfn.PERCENTILE.INC($C$2:$C$288,0.2),2,TRUE,1)</f>
        <v>2</v>
      </c>
      <c r="G242" s="1" cm="1">
        <f t="array" ref="G242">_xlfn.IFS(D242&gt;=_xlfn.PERCENTILE.INC($D$2:$D$288,0.8),5,D242&gt;=_xlfn.PERCENTILE.INC($D$2:$D$288,0.6),4,D242&gt;=_xlfn.PERCENTILE.INC($D$2:$D$288,0.4),3,D242&gt;=_xlfn.PERCENTILE.INC($D$2:$D$288,0.2),2,TRUE,1)</f>
        <v>1</v>
      </c>
      <c r="H242" s="1">
        <f t="shared" si="3"/>
        <v>4</v>
      </c>
      <c r="I242" s="1" t="str" cm="1">
        <f t="array" ref="I242">_xlfn.IFS(H242&gt;=13,"Best Customers",H242&gt;=10,"Loyal Customers",H242&gt;=7,"Potential Loyal Customers",H242&gt;=4,"Need Attention",TRUE,"At Risk")</f>
        <v>Need Attention</v>
      </c>
    </row>
    <row r="243" spans="1:9">
      <c r="A243" s="1" t="s">
        <v>353</v>
      </c>
      <c r="B243" s="9">
        <v>252.59086805560199</v>
      </c>
      <c r="C243" s="1">
        <v>1</v>
      </c>
      <c r="D243" s="4">
        <v>11.89</v>
      </c>
      <c r="E243" s="1" cm="1">
        <f t="array" ref="E243">_xlfn.IFS(B243&lt;=_xlfn.PERCENTILE.INC($B$2:$B$288,0.2),5,B243&lt;=_xlfn.PERCENTILE.INC($B$2:$B$288,0.4),4,B243&lt;=_xlfn.PERCENTILE.INC($B$2:$B$288,0.6),3,B243&lt;=_xlfn.PERCENTILE.INC($B$2:$B$288,0.8),2,TRUE,1)</f>
        <v>1</v>
      </c>
      <c r="F243" s="1" cm="1">
        <f t="array" ref="F243">_xlfn.IFS(C243&gt;=_xlfn.PERCENTILE.INC($C$2:$C$288,0.8),5,C243&gt;=_xlfn.PERCENTILE.INC($C$2:$C$288,0.6),4,C243&gt;=_xlfn.PERCENTILE.INC($C$2:$C$288,0.4),3,C243&gt;=_xlfn.PERCENTILE.INC($C$2:$C$288,0.2),2,TRUE,1)</f>
        <v>1</v>
      </c>
      <c r="G243" s="1" cm="1">
        <f t="array" ref="G243">_xlfn.IFS(D243&gt;=_xlfn.PERCENTILE.INC($D$2:$D$288,0.8),5,D243&gt;=_xlfn.PERCENTILE.INC($D$2:$D$288,0.6),4,D243&gt;=_xlfn.PERCENTILE.INC($D$2:$D$288,0.4),3,D243&gt;=_xlfn.PERCENTILE.INC($D$2:$D$288,0.2),2,TRUE,1)</f>
        <v>1</v>
      </c>
      <c r="H243" s="1">
        <f t="shared" si="3"/>
        <v>3</v>
      </c>
      <c r="I243" s="1" t="str" cm="1">
        <f t="array" ref="I243">_xlfn.IFS(H243&gt;=13,"Best Customers",H243&gt;=10,"Loyal Customers",H243&gt;=7,"Potential Loyal Customers",H243&gt;=4,"Need Attention",TRUE,"At Risk")</f>
        <v>At Risk</v>
      </c>
    </row>
    <row r="244" spans="1:9">
      <c r="A244" s="1" t="s">
        <v>415</v>
      </c>
      <c r="B244" s="9">
        <v>106.590868055602</v>
      </c>
      <c r="C244" s="1">
        <v>1</v>
      </c>
      <c r="D244" s="4">
        <v>4.12</v>
      </c>
      <c r="E244" s="1" cm="1">
        <f t="array" ref="E244">_xlfn.IFS(B244&lt;=_xlfn.PERCENTILE.INC($B$2:$B$288,0.2),5,B244&lt;=_xlfn.PERCENTILE.INC($B$2:$B$288,0.4),4,B244&lt;=_xlfn.PERCENTILE.INC($B$2:$B$288,0.6),3,B244&lt;=_xlfn.PERCENTILE.INC($B$2:$B$288,0.8),2,TRUE,1)</f>
        <v>2</v>
      </c>
      <c r="F244" s="1" cm="1">
        <f t="array" ref="F244">_xlfn.IFS(C244&gt;=_xlfn.PERCENTILE.INC($C$2:$C$288,0.8),5,C244&gt;=_xlfn.PERCENTILE.INC($C$2:$C$288,0.6),4,C244&gt;=_xlfn.PERCENTILE.INC($C$2:$C$288,0.4),3,C244&gt;=_xlfn.PERCENTILE.INC($C$2:$C$288,0.2),2,TRUE,1)</f>
        <v>1</v>
      </c>
      <c r="G244" s="1" cm="1">
        <f t="array" ref="G244">_xlfn.IFS(D244&gt;=_xlfn.PERCENTILE.INC($D$2:$D$288,0.8),5,D244&gt;=_xlfn.PERCENTILE.INC($D$2:$D$288,0.6),4,D244&gt;=_xlfn.PERCENTILE.INC($D$2:$D$288,0.4),3,D244&gt;=_xlfn.PERCENTILE.INC($D$2:$D$288,0.2),2,TRUE,1)</f>
        <v>1</v>
      </c>
      <c r="H244" s="1">
        <f t="shared" si="3"/>
        <v>4</v>
      </c>
      <c r="I244" s="1" t="str" cm="1">
        <f t="array" ref="I244">_xlfn.IFS(H244&gt;=13,"Best Customers",H244&gt;=10,"Loyal Customers",H244&gt;=7,"Potential Loyal Customers",H244&gt;=4,"Need Attention",TRUE,"At Risk")</f>
        <v>Need Attention</v>
      </c>
    </row>
    <row r="245" spans="1:9">
      <c r="A245" s="1" t="s">
        <v>233</v>
      </c>
      <c r="B245" s="9">
        <v>25.590868055602201</v>
      </c>
      <c r="C245" s="1">
        <v>5</v>
      </c>
      <c r="D245" s="4">
        <v>84.58</v>
      </c>
      <c r="E245" s="1" cm="1">
        <f t="array" ref="E245">_xlfn.IFS(B245&lt;=_xlfn.PERCENTILE.INC($B$2:$B$288,0.2),5,B245&lt;=_xlfn.PERCENTILE.INC($B$2:$B$288,0.4),4,B245&lt;=_xlfn.PERCENTILE.INC($B$2:$B$288,0.6),3,B245&lt;=_xlfn.PERCENTILE.INC($B$2:$B$288,0.8),2,TRUE,1)</f>
        <v>4</v>
      </c>
      <c r="F245" s="1" cm="1">
        <f t="array" ref="F245">_xlfn.IFS(C245&gt;=_xlfn.PERCENTILE.INC($C$2:$C$288,0.8),5,C245&gt;=_xlfn.PERCENTILE.INC($C$2:$C$288,0.6),4,C245&gt;=_xlfn.PERCENTILE.INC($C$2:$C$288,0.4),3,C245&gt;=_xlfn.PERCENTILE.INC($C$2:$C$288,0.2),2,TRUE,1)</f>
        <v>5</v>
      </c>
      <c r="G245" s="1" cm="1">
        <f t="array" ref="G245">_xlfn.IFS(D245&gt;=_xlfn.PERCENTILE.INC($D$2:$D$288,0.8),5,D245&gt;=_xlfn.PERCENTILE.INC($D$2:$D$288,0.6),4,D245&gt;=_xlfn.PERCENTILE.INC($D$2:$D$288,0.4),3,D245&gt;=_xlfn.PERCENTILE.INC($D$2:$D$288,0.2),2,TRUE,1)</f>
        <v>4</v>
      </c>
      <c r="H245" s="1">
        <f t="shared" si="3"/>
        <v>13</v>
      </c>
      <c r="I245" s="1" t="str" cm="1">
        <f t="array" ref="I245">_xlfn.IFS(H245&gt;=13,"Best Customers",H245&gt;=10,"Loyal Customers",H245&gt;=7,"Potential Loyal Customers",H245&gt;=4,"Need Attention",TRUE,"At Risk")</f>
        <v>Best Customers</v>
      </c>
    </row>
    <row r="246" spans="1:9">
      <c r="A246" s="1" t="s">
        <v>791</v>
      </c>
      <c r="B246" s="9">
        <v>251.59086805560199</v>
      </c>
      <c r="C246" s="1">
        <v>1</v>
      </c>
      <c r="D246" s="4">
        <v>12.22</v>
      </c>
      <c r="E246" s="1" cm="1">
        <f t="array" ref="E246">_xlfn.IFS(B246&lt;=_xlfn.PERCENTILE.INC($B$2:$B$288,0.2),5,B246&lt;=_xlfn.PERCENTILE.INC($B$2:$B$288,0.4),4,B246&lt;=_xlfn.PERCENTILE.INC($B$2:$B$288,0.6),3,B246&lt;=_xlfn.PERCENTILE.INC($B$2:$B$288,0.8),2,TRUE,1)</f>
        <v>1</v>
      </c>
      <c r="F246" s="1" cm="1">
        <f t="array" ref="F246">_xlfn.IFS(C246&gt;=_xlfn.PERCENTILE.INC($C$2:$C$288,0.8),5,C246&gt;=_xlfn.PERCENTILE.INC($C$2:$C$288,0.6),4,C246&gt;=_xlfn.PERCENTILE.INC($C$2:$C$288,0.4),3,C246&gt;=_xlfn.PERCENTILE.INC($C$2:$C$288,0.2),2,TRUE,1)</f>
        <v>1</v>
      </c>
      <c r="G246" s="1" cm="1">
        <f t="array" ref="G246">_xlfn.IFS(D246&gt;=_xlfn.PERCENTILE.INC($D$2:$D$288,0.8),5,D246&gt;=_xlfn.PERCENTILE.INC($D$2:$D$288,0.6),4,D246&gt;=_xlfn.PERCENTILE.INC($D$2:$D$288,0.4),3,D246&gt;=_xlfn.PERCENTILE.INC($D$2:$D$288,0.2),2,TRUE,1)</f>
        <v>1</v>
      </c>
      <c r="H246" s="1">
        <f t="shared" si="3"/>
        <v>3</v>
      </c>
      <c r="I246" s="1" t="str" cm="1">
        <f t="array" ref="I246">_xlfn.IFS(H246&gt;=13,"Best Customers",H246&gt;=10,"Loyal Customers",H246&gt;=7,"Potential Loyal Customers",H246&gt;=4,"Need Attention",TRUE,"At Risk")</f>
        <v>At Risk</v>
      </c>
    </row>
    <row r="247" spans="1:9">
      <c r="A247" s="1" t="s">
        <v>6</v>
      </c>
      <c r="B247" s="9">
        <v>247.59086805560199</v>
      </c>
      <c r="C247" s="1">
        <v>2</v>
      </c>
      <c r="D247" s="4">
        <v>59.36</v>
      </c>
      <c r="E247" s="1" cm="1">
        <f t="array" ref="E247">_xlfn.IFS(B247&lt;=_xlfn.PERCENTILE.INC($B$2:$B$288,0.2),5,B247&lt;=_xlfn.PERCENTILE.INC($B$2:$B$288,0.4),4,B247&lt;=_xlfn.PERCENTILE.INC($B$2:$B$288,0.6),3,B247&lt;=_xlfn.PERCENTILE.INC($B$2:$B$288,0.8),2,TRUE,1)</f>
        <v>1</v>
      </c>
      <c r="F247" s="1" cm="1">
        <f t="array" ref="F247">_xlfn.IFS(C247&gt;=_xlfn.PERCENTILE.INC($C$2:$C$288,0.8),5,C247&gt;=_xlfn.PERCENTILE.INC($C$2:$C$288,0.6),4,C247&gt;=_xlfn.PERCENTILE.INC($C$2:$C$288,0.4),3,C247&gt;=_xlfn.PERCENTILE.INC($C$2:$C$288,0.2),2,TRUE,1)</f>
        <v>2</v>
      </c>
      <c r="G247" s="1" cm="1">
        <f t="array" ref="G247">_xlfn.IFS(D247&gt;=_xlfn.PERCENTILE.INC($D$2:$D$288,0.8),5,D247&gt;=_xlfn.PERCENTILE.INC($D$2:$D$288,0.6),4,D247&gt;=_xlfn.PERCENTILE.INC($D$2:$D$288,0.4),3,D247&gt;=_xlfn.PERCENTILE.INC($D$2:$D$288,0.2),2,TRUE,1)</f>
        <v>3</v>
      </c>
      <c r="H247" s="1">
        <f t="shared" si="3"/>
        <v>6</v>
      </c>
      <c r="I247" s="1" t="str" cm="1">
        <f t="array" ref="I247">_xlfn.IFS(H247&gt;=13,"Best Customers",H247&gt;=10,"Loyal Customers",H247&gt;=7,"Potential Loyal Customers",H247&gt;=4,"Need Attention",TRUE,"At Risk")</f>
        <v>Need Attention</v>
      </c>
    </row>
    <row r="248" spans="1:9">
      <c r="A248" s="1" t="s">
        <v>679</v>
      </c>
      <c r="B248" s="9">
        <v>86.590868055602201</v>
      </c>
      <c r="C248" s="1">
        <v>1</v>
      </c>
      <c r="D248" s="4">
        <v>33.6</v>
      </c>
      <c r="E248" s="1" cm="1">
        <f t="array" ref="E248">_xlfn.IFS(B248&lt;=_xlfn.PERCENTILE.INC($B$2:$B$288,0.2),5,B248&lt;=_xlfn.PERCENTILE.INC($B$2:$B$288,0.4),4,B248&lt;=_xlfn.PERCENTILE.INC($B$2:$B$288,0.6),3,B248&lt;=_xlfn.PERCENTILE.INC($B$2:$B$288,0.8),2,TRUE,1)</f>
        <v>3</v>
      </c>
      <c r="F248" s="1" cm="1">
        <f t="array" ref="F248">_xlfn.IFS(C248&gt;=_xlfn.PERCENTILE.INC($C$2:$C$288,0.8),5,C248&gt;=_xlfn.PERCENTILE.INC($C$2:$C$288,0.6),4,C248&gt;=_xlfn.PERCENTILE.INC($C$2:$C$288,0.4),3,C248&gt;=_xlfn.PERCENTILE.INC($C$2:$C$288,0.2),2,TRUE,1)</f>
        <v>1</v>
      </c>
      <c r="G248" s="1" cm="1">
        <f t="array" ref="G248">_xlfn.IFS(D248&gt;=_xlfn.PERCENTILE.INC($D$2:$D$288,0.8),5,D248&gt;=_xlfn.PERCENTILE.INC($D$2:$D$288,0.6),4,D248&gt;=_xlfn.PERCENTILE.INC($D$2:$D$288,0.4),3,D248&gt;=_xlfn.PERCENTILE.INC($D$2:$D$288,0.2),2,TRUE,1)</f>
        <v>2</v>
      </c>
      <c r="H248" s="1">
        <f t="shared" si="3"/>
        <v>6</v>
      </c>
      <c r="I248" s="1" t="str" cm="1">
        <f t="array" ref="I248">_xlfn.IFS(H248&gt;=13,"Best Customers",H248&gt;=10,"Loyal Customers",H248&gt;=7,"Potential Loyal Customers",H248&gt;=4,"Need Attention",TRUE,"At Risk")</f>
        <v>Need Attention</v>
      </c>
    </row>
    <row r="249" spans="1:9">
      <c r="A249" s="1" t="s">
        <v>18</v>
      </c>
      <c r="B249" s="9">
        <v>39.590868055602201</v>
      </c>
      <c r="C249" s="1">
        <v>6</v>
      </c>
      <c r="D249" s="4">
        <v>60.89</v>
      </c>
      <c r="E249" s="1" cm="1">
        <f t="array" ref="E249">_xlfn.IFS(B249&lt;=_xlfn.PERCENTILE.INC($B$2:$B$288,0.2),5,B249&lt;=_xlfn.PERCENTILE.INC($B$2:$B$288,0.4),4,B249&lt;=_xlfn.PERCENTILE.INC($B$2:$B$288,0.6),3,B249&lt;=_xlfn.PERCENTILE.INC($B$2:$B$288,0.8),2,TRUE,1)</f>
        <v>4</v>
      </c>
      <c r="F249" s="1" cm="1">
        <f t="array" ref="F249">_xlfn.IFS(C249&gt;=_xlfn.PERCENTILE.INC($C$2:$C$288,0.8),5,C249&gt;=_xlfn.PERCENTILE.INC($C$2:$C$288,0.6),4,C249&gt;=_xlfn.PERCENTILE.INC($C$2:$C$288,0.4),3,C249&gt;=_xlfn.PERCENTILE.INC($C$2:$C$288,0.2),2,TRUE,1)</f>
        <v>5</v>
      </c>
      <c r="G249" s="1" cm="1">
        <f t="array" ref="G249">_xlfn.IFS(D249&gt;=_xlfn.PERCENTILE.INC($D$2:$D$288,0.8),5,D249&gt;=_xlfn.PERCENTILE.INC($D$2:$D$288,0.6),4,D249&gt;=_xlfn.PERCENTILE.INC($D$2:$D$288,0.4),3,D249&gt;=_xlfn.PERCENTILE.INC($D$2:$D$288,0.2),2,TRUE,1)</f>
        <v>3</v>
      </c>
      <c r="H249" s="1">
        <f t="shared" si="3"/>
        <v>12</v>
      </c>
      <c r="I249" s="1" t="str" cm="1">
        <f t="array" ref="I249">_xlfn.IFS(H249&gt;=13,"Best Customers",H249&gt;=10,"Loyal Customers",H249&gt;=7,"Potential Loyal Customers",H249&gt;=4,"Need Attention",TRUE,"At Risk")</f>
        <v>Loyal Customers</v>
      </c>
    </row>
    <row r="250" spans="1:9">
      <c r="A250" s="1" t="s">
        <v>694</v>
      </c>
      <c r="B250" s="9">
        <v>7.5908680556021899</v>
      </c>
      <c r="C250" s="1">
        <v>5</v>
      </c>
      <c r="D250" s="4">
        <v>121.51</v>
      </c>
      <c r="E250" s="1" cm="1">
        <f t="array" ref="E250">_xlfn.IFS(B250&lt;=_xlfn.PERCENTILE.INC($B$2:$B$288,0.2),5,B250&lt;=_xlfn.PERCENTILE.INC($B$2:$B$288,0.4),4,B250&lt;=_xlfn.PERCENTILE.INC($B$2:$B$288,0.6),3,B250&lt;=_xlfn.PERCENTILE.INC($B$2:$B$288,0.8),2,TRUE,1)</f>
        <v>5</v>
      </c>
      <c r="F250" s="1" cm="1">
        <f t="array" ref="F250">_xlfn.IFS(C250&gt;=_xlfn.PERCENTILE.INC($C$2:$C$288,0.8),5,C250&gt;=_xlfn.PERCENTILE.INC($C$2:$C$288,0.6),4,C250&gt;=_xlfn.PERCENTILE.INC($C$2:$C$288,0.4),3,C250&gt;=_xlfn.PERCENTILE.INC($C$2:$C$288,0.2),2,TRUE,1)</f>
        <v>5</v>
      </c>
      <c r="G250" s="1" cm="1">
        <f t="array" ref="G250">_xlfn.IFS(D250&gt;=_xlfn.PERCENTILE.INC($D$2:$D$288,0.8),5,D250&gt;=_xlfn.PERCENTILE.INC($D$2:$D$288,0.6),4,D250&gt;=_xlfn.PERCENTILE.INC($D$2:$D$288,0.4),3,D250&gt;=_xlfn.PERCENTILE.INC($D$2:$D$288,0.2),2,TRUE,1)</f>
        <v>5</v>
      </c>
      <c r="H250" s="1">
        <f t="shared" si="3"/>
        <v>15</v>
      </c>
      <c r="I250" s="1" t="str" cm="1">
        <f t="array" ref="I250">_xlfn.IFS(H250&gt;=13,"Best Customers",H250&gt;=10,"Loyal Customers",H250&gt;=7,"Potential Loyal Customers",H250&gt;=4,"Need Attention",TRUE,"At Risk")</f>
        <v>Best Customers</v>
      </c>
    </row>
    <row r="251" spans="1:9">
      <c r="A251" s="1" t="s">
        <v>382</v>
      </c>
      <c r="B251" s="9">
        <v>88.590868055602201</v>
      </c>
      <c r="C251" s="1">
        <v>3</v>
      </c>
      <c r="D251" s="4">
        <v>57.67</v>
      </c>
      <c r="E251" s="1" cm="1">
        <f t="array" ref="E251">_xlfn.IFS(B251&lt;=_xlfn.PERCENTILE.INC($B$2:$B$288,0.2),5,B251&lt;=_xlfn.PERCENTILE.INC($B$2:$B$288,0.4),4,B251&lt;=_xlfn.PERCENTILE.INC($B$2:$B$288,0.6),3,B251&lt;=_xlfn.PERCENTILE.INC($B$2:$B$288,0.8),2,TRUE,1)</f>
        <v>3</v>
      </c>
      <c r="F251" s="1" cm="1">
        <f t="array" ref="F251">_xlfn.IFS(C251&gt;=_xlfn.PERCENTILE.INC($C$2:$C$288,0.8),5,C251&gt;=_xlfn.PERCENTILE.INC($C$2:$C$288,0.6),4,C251&gt;=_xlfn.PERCENTILE.INC($C$2:$C$288,0.4),3,C251&gt;=_xlfn.PERCENTILE.INC($C$2:$C$288,0.2),2,TRUE,1)</f>
        <v>3</v>
      </c>
      <c r="G251" s="1" cm="1">
        <f t="array" ref="G251">_xlfn.IFS(D251&gt;=_xlfn.PERCENTILE.INC($D$2:$D$288,0.8),5,D251&gt;=_xlfn.PERCENTILE.INC($D$2:$D$288,0.6),4,D251&gt;=_xlfn.PERCENTILE.INC($D$2:$D$288,0.4),3,D251&gt;=_xlfn.PERCENTILE.INC($D$2:$D$288,0.2),2,TRUE,1)</f>
        <v>3</v>
      </c>
      <c r="H251" s="1">
        <f t="shared" si="3"/>
        <v>9</v>
      </c>
      <c r="I251" s="1" t="str" cm="1">
        <f t="array" ref="I251">_xlfn.IFS(H251&gt;=13,"Best Customers",H251&gt;=10,"Loyal Customers",H251&gt;=7,"Potential Loyal Customers",H251&gt;=4,"Need Attention",TRUE,"At Risk")</f>
        <v>Potential Loyal Customers</v>
      </c>
    </row>
    <row r="252" spans="1:9">
      <c r="A252" s="1" t="s">
        <v>334</v>
      </c>
      <c r="B252" s="9">
        <v>27.590868055602201</v>
      </c>
      <c r="C252" s="1">
        <v>6</v>
      </c>
      <c r="D252" s="4">
        <v>126.84</v>
      </c>
      <c r="E252" s="1" cm="1">
        <f t="array" ref="E252">_xlfn.IFS(B252&lt;=_xlfn.PERCENTILE.INC($B$2:$B$288,0.2),5,B252&lt;=_xlfn.PERCENTILE.INC($B$2:$B$288,0.4),4,B252&lt;=_xlfn.PERCENTILE.INC($B$2:$B$288,0.6),3,B252&lt;=_xlfn.PERCENTILE.INC($B$2:$B$288,0.8),2,TRUE,1)</f>
        <v>4</v>
      </c>
      <c r="F252" s="1" cm="1">
        <f t="array" ref="F252">_xlfn.IFS(C252&gt;=_xlfn.PERCENTILE.INC($C$2:$C$288,0.8),5,C252&gt;=_xlfn.PERCENTILE.INC($C$2:$C$288,0.6),4,C252&gt;=_xlfn.PERCENTILE.INC($C$2:$C$288,0.4),3,C252&gt;=_xlfn.PERCENTILE.INC($C$2:$C$288,0.2),2,TRUE,1)</f>
        <v>5</v>
      </c>
      <c r="G252" s="1" cm="1">
        <f t="array" ref="G252">_xlfn.IFS(D252&gt;=_xlfn.PERCENTILE.INC($D$2:$D$288,0.8),5,D252&gt;=_xlfn.PERCENTILE.INC($D$2:$D$288,0.6),4,D252&gt;=_xlfn.PERCENTILE.INC($D$2:$D$288,0.4),3,D252&gt;=_xlfn.PERCENTILE.INC($D$2:$D$288,0.2),2,TRUE,1)</f>
        <v>5</v>
      </c>
      <c r="H252" s="1">
        <f t="shared" si="3"/>
        <v>14</v>
      </c>
      <c r="I252" s="1" t="str" cm="1">
        <f t="array" ref="I252">_xlfn.IFS(H252&gt;=13,"Best Customers",H252&gt;=10,"Loyal Customers",H252&gt;=7,"Potential Loyal Customers",H252&gt;=4,"Need Attention",TRUE,"At Risk")</f>
        <v>Best Customers</v>
      </c>
    </row>
    <row r="253" spans="1:9">
      <c r="A253" s="1" t="s">
        <v>37</v>
      </c>
      <c r="B253" s="9">
        <v>5.5908680556021899</v>
      </c>
      <c r="C253" s="1">
        <v>2</v>
      </c>
      <c r="D253" s="4">
        <v>50.75</v>
      </c>
      <c r="E253" s="1" cm="1">
        <f t="array" ref="E253">_xlfn.IFS(B253&lt;=_xlfn.PERCENTILE.INC($B$2:$B$288,0.2),5,B253&lt;=_xlfn.PERCENTILE.INC($B$2:$B$288,0.4),4,B253&lt;=_xlfn.PERCENTILE.INC($B$2:$B$288,0.6),3,B253&lt;=_xlfn.PERCENTILE.INC($B$2:$B$288,0.8),2,TRUE,1)</f>
        <v>5</v>
      </c>
      <c r="F253" s="1" cm="1">
        <f t="array" ref="F253">_xlfn.IFS(C253&gt;=_xlfn.PERCENTILE.INC($C$2:$C$288,0.8),5,C253&gt;=_xlfn.PERCENTILE.INC($C$2:$C$288,0.6),4,C253&gt;=_xlfn.PERCENTILE.INC($C$2:$C$288,0.4),3,C253&gt;=_xlfn.PERCENTILE.INC($C$2:$C$288,0.2),2,TRUE,1)</f>
        <v>2</v>
      </c>
      <c r="G253" s="1" cm="1">
        <f t="array" ref="G253">_xlfn.IFS(D253&gt;=_xlfn.PERCENTILE.INC($D$2:$D$288,0.8),5,D253&gt;=_xlfn.PERCENTILE.INC($D$2:$D$288,0.6),4,D253&gt;=_xlfn.PERCENTILE.INC($D$2:$D$288,0.4),3,D253&gt;=_xlfn.PERCENTILE.INC($D$2:$D$288,0.2),2,TRUE,1)</f>
        <v>3</v>
      </c>
      <c r="H253" s="1">
        <f t="shared" si="3"/>
        <v>10</v>
      </c>
      <c r="I253" s="1" t="str" cm="1">
        <f t="array" ref="I253">_xlfn.IFS(H253&gt;=13,"Best Customers",H253&gt;=10,"Loyal Customers",H253&gt;=7,"Potential Loyal Customers",H253&gt;=4,"Need Attention",TRUE,"At Risk")</f>
        <v>Loyal Customers</v>
      </c>
    </row>
    <row r="254" spans="1:9">
      <c r="A254" s="1" t="s">
        <v>340</v>
      </c>
      <c r="B254" s="9">
        <v>92.590868055602201</v>
      </c>
      <c r="C254" s="1">
        <v>4</v>
      </c>
      <c r="D254" s="4">
        <v>37.729999999999997</v>
      </c>
      <c r="E254" s="1" cm="1">
        <f t="array" ref="E254">_xlfn.IFS(B254&lt;=_xlfn.PERCENTILE.INC($B$2:$B$288,0.2),5,B254&lt;=_xlfn.PERCENTILE.INC($B$2:$B$288,0.4),4,B254&lt;=_xlfn.PERCENTILE.INC($B$2:$B$288,0.6),3,B254&lt;=_xlfn.PERCENTILE.INC($B$2:$B$288,0.8),2,TRUE,1)</f>
        <v>3</v>
      </c>
      <c r="F254" s="1" cm="1">
        <f t="array" ref="F254">_xlfn.IFS(C254&gt;=_xlfn.PERCENTILE.INC($C$2:$C$288,0.8),5,C254&gt;=_xlfn.PERCENTILE.INC($C$2:$C$288,0.6),4,C254&gt;=_xlfn.PERCENTILE.INC($C$2:$C$288,0.4),3,C254&gt;=_xlfn.PERCENTILE.INC($C$2:$C$288,0.2),2,TRUE,1)</f>
        <v>4</v>
      </c>
      <c r="G254" s="1" cm="1">
        <f t="array" ref="G254">_xlfn.IFS(D254&gt;=_xlfn.PERCENTILE.INC($D$2:$D$288,0.8),5,D254&gt;=_xlfn.PERCENTILE.INC($D$2:$D$288,0.6),4,D254&gt;=_xlfn.PERCENTILE.INC($D$2:$D$288,0.4),3,D254&gt;=_xlfn.PERCENTILE.INC($D$2:$D$288,0.2),2,TRUE,1)</f>
        <v>2</v>
      </c>
      <c r="H254" s="1">
        <f t="shared" si="3"/>
        <v>9</v>
      </c>
      <c r="I254" s="1" t="str" cm="1">
        <f t="array" ref="I254">_xlfn.IFS(H254&gt;=13,"Best Customers",H254&gt;=10,"Loyal Customers",H254&gt;=7,"Potential Loyal Customers",H254&gt;=4,"Need Attention",TRUE,"At Risk")</f>
        <v>Potential Loyal Customers</v>
      </c>
    </row>
    <row r="255" spans="1:9">
      <c r="A255" s="1" t="s">
        <v>62</v>
      </c>
      <c r="B255" s="9">
        <v>126.590868055602</v>
      </c>
      <c r="C255" s="1">
        <v>6</v>
      </c>
      <c r="D255" s="4">
        <v>140.88999999999999</v>
      </c>
      <c r="E255" s="1" cm="1">
        <f t="array" ref="E255">_xlfn.IFS(B255&lt;=_xlfn.PERCENTILE.INC($B$2:$B$288,0.2),5,B255&lt;=_xlfn.PERCENTILE.INC($B$2:$B$288,0.4),4,B255&lt;=_xlfn.PERCENTILE.INC($B$2:$B$288,0.6),3,B255&lt;=_xlfn.PERCENTILE.INC($B$2:$B$288,0.8),2,TRUE,1)</f>
        <v>2</v>
      </c>
      <c r="F255" s="1" cm="1">
        <f t="array" ref="F255">_xlfn.IFS(C255&gt;=_xlfn.PERCENTILE.INC($C$2:$C$288,0.8),5,C255&gt;=_xlfn.PERCENTILE.INC($C$2:$C$288,0.6),4,C255&gt;=_xlfn.PERCENTILE.INC($C$2:$C$288,0.4),3,C255&gt;=_xlfn.PERCENTILE.INC($C$2:$C$288,0.2),2,TRUE,1)</f>
        <v>5</v>
      </c>
      <c r="G255" s="1" cm="1">
        <f t="array" ref="G255">_xlfn.IFS(D255&gt;=_xlfn.PERCENTILE.INC($D$2:$D$288,0.8),5,D255&gt;=_xlfn.PERCENTILE.INC($D$2:$D$288,0.6),4,D255&gt;=_xlfn.PERCENTILE.INC($D$2:$D$288,0.4),3,D255&gt;=_xlfn.PERCENTILE.INC($D$2:$D$288,0.2),2,TRUE,1)</f>
        <v>5</v>
      </c>
      <c r="H255" s="1">
        <f t="shared" si="3"/>
        <v>12</v>
      </c>
      <c r="I255" s="1" t="str" cm="1">
        <f t="array" ref="I255">_xlfn.IFS(H255&gt;=13,"Best Customers",H255&gt;=10,"Loyal Customers",H255&gt;=7,"Potential Loyal Customers",H255&gt;=4,"Need Attention",TRUE,"At Risk")</f>
        <v>Loyal Customers</v>
      </c>
    </row>
    <row r="256" spans="1:9">
      <c r="A256" s="1" t="s">
        <v>487</v>
      </c>
      <c r="B256" s="9">
        <v>212.59086805560199</v>
      </c>
      <c r="C256" s="1">
        <v>3</v>
      </c>
      <c r="D256" s="4">
        <v>80.47</v>
      </c>
      <c r="E256" s="1" cm="1">
        <f t="array" ref="E256">_xlfn.IFS(B256&lt;=_xlfn.PERCENTILE.INC($B$2:$B$288,0.2),5,B256&lt;=_xlfn.PERCENTILE.INC($B$2:$B$288,0.4),4,B256&lt;=_xlfn.PERCENTILE.INC($B$2:$B$288,0.6),3,B256&lt;=_xlfn.PERCENTILE.INC($B$2:$B$288,0.8),2,TRUE,1)</f>
        <v>1</v>
      </c>
      <c r="F256" s="1" cm="1">
        <f t="array" ref="F256">_xlfn.IFS(C256&gt;=_xlfn.PERCENTILE.INC($C$2:$C$288,0.8),5,C256&gt;=_xlfn.PERCENTILE.INC($C$2:$C$288,0.6),4,C256&gt;=_xlfn.PERCENTILE.INC($C$2:$C$288,0.4),3,C256&gt;=_xlfn.PERCENTILE.INC($C$2:$C$288,0.2),2,TRUE,1)</f>
        <v>3</v>
      </c>
      <c r="G256" s="1" cm="1">
        <f t="array" ref="G256">_xlfn.IFS(D256&gt;=_xlfn.PERCENTILE.INC($D$2:$D$288,0.8),5,D256&gt;=_xlfn.PERCENTILE.INC($D$2:$D$288,0.6),4,D256&gt;=_xlfn.PERCENTILE.INC($D$2:$D$288,0.4),3,D256&gt;=_xlfn.PERCENTILE.INC($D$2:$D$288,0.2),2,TRUE,1)</f>
        <v>4</v>
      </c>
      <c r="H256" s="1">
        <f t="shared" si="3"/>
        <v>8</v>
      </c>
      <c r="I256" s="1" t="str" cm="1">
        <f t="array" ref="I256">_xlfn.IFS(H256&gt;=13,"Best Customers",H256&gt;=10,"Loyal Customers",H256&gt;=7,"Potential Loyal Customers",H256&gt;=4,"Need Attention",TRUE,"At Risk")</f>
        <v>Potential Loyal Customers</v>
      </c>
    </row>
    <row r="257" spans="1:9">
      <c r="A257" s="1" t="s">
        <v>633</v>
      </c>
      <c r="B257" s="9">
        <v>185.59086805560199</v>
      </c>
      <c r="C257" s="1">
        <v>4</v>
      </c>
      <c r="D257" s="4">
        <v>70.959999999999994</v>
      </c>
      <c r="E257" s="1" cm="1">
        <f t="array" ref="E257">_xlfn.IFS(B257&lt;=_xlfn.PERCENTILE.INC($B$2:$B$288,0.2),5,B257&lt;=_xlfn.PERCENTILE.INC($B$2:$B$288,0.4),4,B257&lt;=_xlfn.PERCENTILE.INC($B$2:$B$288,0.6),3,B257&lt;=_xlfn.PERCENTILE.INC($B$2:$B$288,0.8),2,TRUE,1)</f>
        <v>1</v>
      </c>
      <c r="F257" s="1" cm="1">
        <f t="array" ref="F257">_xlfn.IFS(C257&gt;=_xlfn.PERCENTILE.INC($C$2:$C$288,0.8),5,C257&gt;=_xlfn.PERCENTILE.INC($C$2:$C$288,0.6),4,C257&gt;=_xlfn.PERCENTILE.INC($C$2:$C$288,0.4),3,C257&gt;=_xlfn.PERCENTILE.INC($C$2:$C$288,0.2),2,TRUE,1)</f>
        <v>4</v>
      </c>
      <c r="G257" s="1" cm="1">
        <f t="array" ref="G257">_xlfn.IFS(D257&gt;=_xlfn.PERCENTILE.INC($D$2:$D$288,0.8),5,D257&gt;=_xlfn.PERCENTILE.INC($D$2:$D$288,0.6),4,D257&gt;=_xlfn.PERCENTILE.INC($D$2:$D$288,0.4),3,D257&gt;=_xlfn.PERCENTILE.INC($D$2:$D$288,0.2),2,TRUE,1)</f>
        <v>4</v>
      </c>
      <c r="H257" s="1">
        <f t="shared" si="3"/>
        <v>9</v>
      </c>
      <c r="I257" s="1" t="str" cm="1">
        <f t="array" ref="I257">_xlfn.IFS(H257&gt;=13,"Best Customers",H257&gt;=10,"Loyal Customers",H257&gt;=7,"Potential Loyal Customers",H257&gt;=4,"Need Attention",TRUE,"At Risk")</f>
        <v>Potential Loyal Customers</v>
      </c>
    </row>
    <row r="258" spans="1:9">
      <c r="A258" s="1" t="s">
        <v>66</v>
      </c>
      <c r="B258" s="9">
        <v>129.59086805560199</v>
      </c>
      <c r="C258" s="1">
        <v>4</v>
      </c>
      <c r="D258" s="4">
        <v>83.37</v>
      </c>
      <c r="E258" s="1" cm="1">
        <f t="array" ref="E258">_xlfn.IFS(B258&lt;=_xlfn.PERCENTILE.INC($B$2:$B$288,0.2),5,B258&lt;=_xlfn.PERCENTILE.INC($B$2:$B$288,0.4),4,B258&lt;=_xlfn.PERCENTILE.INC($B$2:$B$288,0.6),3,B258&lt;=_xlfn.PERCENTILE.INC($B$2:$B$288,0.8),2,TRUE,1)</f>
        <v>2</v>
      </c>
      <c r="F258" s="1" cm="1">
        <f t="array" ref="F258">_xlfn.IFS(C258&gt;=_xlfn.PERCENTILE.INC($C$2:$C$288,0.8),5,C258&gt;=_xlfn.PERCENTILE.INC($C$2:$C$288,0.6),4,C258&gt;=_xlfn.PERCENTILE.INC($C$2:$C$288,0.4),3,C258&gt;=_xlfn.PERCENTILE.INC($C$2:$C$288,0.2),2,TRUE,1)</f>
        <v>4</v>
      </c>
      <c r="G258" s="1" cm="1">
        <f t="array" ref="G258">_xlfn.IFS(D258&gt;=_xlfn.PERCENTILE.INC($D$2:$D$288,0.8),5,D258&gt;=_xlfn.PERCENTILE.INC($D$2:$D$288,0.6),4,D258&gt;=_xlfn.PERCENTILE.INC($D$2:$D$288,0.4),3,D258&gt;=_xlfn.PERCENTILE.INC($D$2:$D$288,0.2),2,TRUE,1)</f>
        <v>4</v>
      </c>
      <c r="H258" s="1">
        <f t="shared" si="3"/>
        <v>10</v>
      </c>
      <c r="I258" s="1" t="str" cm="1">
        <f t="array" ref="I258">_xlfn.IFS(H258&gt;=13,"Best Customers",H258&gt;=10,"Loyal Customers",H258&gt;=7,"Potential Loyal Customers",H258&gt;=4,"Need Attention",TRUE,"At Risk")</f>
        <v>Loyal Customers</v>
      </c>
    </row>
    <row r="259" spans="1:9">
      <c r="A259" s="1" t="s">
        <v>856</v>
      </c>
      <c r="B259" s="9">
        <v>43.590868055602201</v>
      </c>
      <c r="C259" s="1">
        <v>5</v>
      </c>
      <c r="D259" s="4">
        <v>117.98</v>
      </c>
      <c r="E259" s="1" cm="1">
        <f t="array" ref="E259">_xlfn.IFS(B259&lt;=_xlfn.PERCENTILE.INC($B$2:$B$288,0.2),5,B259&lt;=_xlfn.PERCENTILE.INC($B$2:$B$288,0.4),4,B259&lt;=_xlfn.PERCENTILE.INC($B$2:$B$288,0.6),3,B259&lt;=_xlfn.PERCENTILE.INC($B$2:$B$288,0.8),2,TRUE,1)</f>
        <v>4</v>
      </c>
      <c r="F259" s="1" cm="1">
        <f t="array" ref="F259">_xlfn.IFS(C259&gt;=_xlfn.PERCENTILE.INC($C$2:$C$288,0.8),5,C259&gt;=_xlfn.PERCENTILE.INC($C$2:$C$288,0.6),4,C259&gt;=_xlfn.PERCENTILE.INC($C$2:$C$288,0.4),3,C259&gt;=_xlfn.PERCENTILE.INC($C$2:$C$288,0.2),2,TRUE,1)</f>
        <v>5</v>
      </c>
      <c r="G259" s="1" cm="1">
        <f t="array" ref="G259">_xlfn.IFS(D259&gt;=_xlfn.PERCENTILE.INC($D$2:$D$288,0.8),5,D259&gt;=_xlfn.PERCENTILE.INC($D$2:$D$288,0.6),4,D259&gt;=_xlfn.PERCENTILE.INC($D$2:$D$288,0.4),3,D259&gt;=_xlfn.PERCENTILE.INC($D$2:$D$288,0.2),2,TRUE,1)</f>
        <v>5</v>
      </c>
      <c r="H259" s="1">
        <f t="shared" ref="H259:H288" si="4">E259+F259+G259</f>
        <v>14</v>
      </c>
      <c r="I259" s="1" t="str" cm="1">
        <f t="array" ref="I259">_xlfn.IFS(H259&gt;=13,"Best Customers",H259&gt;=10,"Loyal Customers",H259&gt;=7,"Potential Loyal Customers",H259&gt;=4,"Need Attention",TRUE,"At Risk")</f>
        <v>Best Customers</v>
      </c>
    </row>
    <row r="260" spans="1:9">
      <c r="A260" s="1" t="s">
        <v>647</v>
      </c>
      <c r="B260" s="9">
        <v>360.59086805560202</v>
      </c>
      <c r="C260" s="1">
        <v>1</v>
      </c>
      <c r="D260" s="4">
        <v>4.37</v>
      </c>
      <c r="E260" s="1" cm="1">
        <f t="array" ref="E260">_xlfn.IFS(B260&lt;=_xlfn.PERCENTILE.INC($B$2:$B$288,0.2),5,B260&lt;=_xlfn.PERCENTILE.INC($B$2:$B$288,0.4),4,B260&lt;=_xlfn.PERCENTILE.INC($B$2:$B$288,0.6),3,B260&lt;=_xlfn.PERCENTILE.INC($B$2:$B$288,0.8),2,TRUE,1)</f>
        <v>1</v>
      </c>
      <c r="F260" s="1" cm="1">
        <f t="array" ref="F260">_xlfn.IFS(C260&gt;=_xlfn.PERCENTILE.INC($C$2:$C$288,0.8),5,C260&gt;=_xlfn.PERCENTILE.INC($C$2:$C$288,0.6),4,C260&gt;=_xlfn.PERCENTILE.INC($C$2:$C$288,0.4),3,C260&gt;=_xlfn.PERCENTILE.INC($C$2:$C$288,0.2),2,TRUE,1)</f>
        <v>1</v>
      </c>
      <c r="G260" s="1" cm="1">
        <f t="array" ref="G260">_xlfn.IFS(D260&gt;=_xlfn.PERCENTILE.INC($D$2:$D$288,0.8),5,D260&gt;=_xlfn.PERCENTILE.INC($D$2:$D$288,0.6),4,D260&gt;=_xlfn.PERCENTILE.INC($D$2:$D$288,0.4),3,D260&gt;=_xlfn.PERCENTILE.INC($D$2:$D$288,0.2),2,TRUE,1)</f>
        <v>1</v>
      </c>
      <c r="H260" s="1">
        <f t="shared" si="4"/>
        <v>3</v>
      </c>
      <c r="I260" s="1" t="str" cm="1">
        <f t="array" ref="I260">_xlfn.IFS(H260&gt;=13,"Best Customers",H260&gt;=10,"Loyal Customers",H260&gt;=7,"Potential Loyal Customers",H260&gt;=4,"Need Attention",TRUE,"At Risk")</f>
        <v>At Risk</v>
      </c>
    </row>
    <row r="261" spans="1:9">
      <c r="A261" s="1" t="s">
        <v>35</v>
      </c>
      <c r="B261" s="9">
        <v>192.59086805560199</v>
      </c>
      <c r="C261" s="1">
        <v>3</v>
      </c>
      <c r="D261" s="4">
        <v>55.45</v>
      </c>
      <c r="E261" s="1" cm="1">
        <f t="array" ref="E261">_xlfn.IFS(B261&lt;=_xlfn.PERCENTILE.INC($B$2:$B$288,0.2),5,B261&lt;=_xlfn.PERCENTILE.INC($B$2:$B$288,0.4),4,B261&lt;=_xlfn.PERCENTILE.INC($B$2:$B$288,0.6),3,B261&lt;=_xlfn.PERCENTILE.INC($B$2:$B$288,0.8),2,TRUE,1)</f>
        <v>1</v>
      </c>
      <c r="F261" s="1" cm="1">
        <f t="array" ref="F261">_xlfn.IFS(C261&gt;=_xlfn.PERCENTILE.INC($C$2:$C$288,0.8),5,C261&gt;=_xlfn.PERCENTILE.INC($C$2:$C$288,0.6),4,C261&gt;=_xlfn.PERCENTILE.INC($C$2:$C$288,0.4),3,C261&gt;=_xlfn.PERCENTILE.INC($C$2:$C$288,0.2),2,TRUE,1)</f>
        <v>3</v>
      </c>
      <c r="G261" s="1" cm="1">
        <f t="array" ref="G261">_xlfn.IFS(D261&gt;=_xlfn.PERCENTILE.INC($D$2:$D$288,0.8),5,D261&gt;=_xlfn.PERCENTILE.INC($D$2:$D$288,0.6),4,D261&gt;=_xlfn.PERCENTILE.INC($D$2:$D$288,0.4),3,D261&gt;=_xlfn.PERCENTILE.INC($D$2:$D$288,0.2),2,TRUE,1)</f>
        <v>3</v>
      </c>
      <c r="H261" s="1">
        <f t="shared" si="4"/>
        <v>7</v>
      </c>
      <c r="I261" s="1" t="str" cm="1">
        <f t="array" ref="I261">_xlfn.IFS(H261&gt;=13,"Best Customers",H261&gt;=10,"Loyal Customers",H261&gt;=7,"Potential Loyal Customers",H261&gt;=4,"Need Attention",TRUE,"At Risk")</f>
        <v>Potential Loyal Customers</v>
      </c>
    </row>
    <row r="262" spans="1:9">
      <c r="A262" s="1" t="s">
        <v>636</v>
      </c>
      <c r="B262" s="9">
        <v>39.590868055602201</v>
      </c>
      <c r="C262" s="1">
        <v>3</v>
      </c>
      <c r="D262" s="4">
        <v>71.959999999999994</v>
      </c>
      <c r="E262" s="1" cm="1">
        <f t="array" ref="E262">_xlfn.IFS(B262&lt;=_xlfn.PERCENTILE.INC($B$2:$B$288,0.2),5,B262&lt;=_xlfn.PERCENTILE.INC($B$2:$B$288,0.4),4,B262&lt;=_xlfn.PERCENTILE.INC($B$2:$B$288,0.6),3,B262&lt;=_xlfn.PERCENTILE.INC($B$2:$B$288,0.8),2,TRUE,1)</f>
        <v>4</v>
      </c>
      <c r="F262" s="1" cm="1">
        <f t="array" ref="F262">_xlfn.IFS(C262&gt;=_xlfn.PERCENTILE.INC($C$2:$C$288,0.8),5,C262&gt;=_xlfn.PERCENTILE.INC($C$2:$C$288,0.6),4,C262&gt;=_xlfn.PERCENTILE.INC($C$2:$C$288,0.4),3,C262&gt;=_xlfn.PERCENTILE.INC($C$2:$C$288,0.2),2,TRUE,1)</f>
        <v>3</v>
      </c>
      <c r="G262" s="1" cm="1">
        <f t="array" ref="G262">_xlfn.IFS(D262&gt;=_xlfn.PERCENTILE.INC($D$2:$D$288,0.8),5,D262&gt;=_xlfn.PERCENTILE.INC($D$2:$D$288,0.6),4,D262&gt;=_xlfn.PERCENTILE.INC($D$2:$D$288,0.4),3,D262&gt;=_xlfn.PERCENTILE.INC($D$2:$D$288,0.2),2,TRUE,1)</f>
        <v>4</v>
      </c>
      <c r="H262" s="1">
        <f t="shared" si="4"/>
        <v>11</v>
      </c>
      <c r="I262" s="1" t="str" cm="1">
        <f t="array" ref="I262">_xlfn.IFS(H262&gt;=13,"Best Customers",H262&gt;=10,"Loyal Customers",H262&gt;=7,"Potential Loyal Customers",H262&gt;=4,"Need Attention",TRUE,"At Risk")</f>
        <v>Loyal Customers</v>
      </c>
    </row>
    <row r="263" spans="1:9">
      <c r="A263" s="1" t="s">
        <v>562</v>
      </c>
      <c r="B263" s="9">
        <v>249.59086805560199</v>
      </c>
      <c r="C263" s="1">
        <v>2</v>
      </c>
      <c r="D263" s="4">
        <v>27.74</v>
      </c>
      <c r="E263" s="1" cm="1">
        <f t="array" ref="E263">_xlfn.IFS(B263&lt;=_xlfn.PERCENTILE.INC($B$2:$B$288,0.2),5,B263&lt;=_xlfn.PERCENTILE.INC($B$2:$B$288,0.4),4,B263&lt;=_xlfn.PERCENTILE.INC($B$2:$B$288,0.6),3,B263&lt;=_xlfn.PERCENTILE.INC($B$2:$B$288,0.8),2,TRUE,1)</f>
        <v>1</v>
      </c>
      <c r="F263" s="1" cm="1">
        <f t="array" ref="F263">_xlfn.IFS(C263&gt;=_xlfn.PERCENTILE.INC($C$2:$C$288,0.8),5,C263&gt;=_xlfn.PERCENTILE.INC($C$2:$C$288,0.6),4,C263&gt;=_xlfn.PERCENTILE.INC($C$2:$C$288,0.4),3,C263&gt;=_xlfn.PERCENTILE.INC($C$2:$C$288,0.2),2,TRUE,1)</f>
        <v>2</v>
      </c>
      <c r="G263" s="1" cm="1">
        <f t="array" ref="G263">_xlfn.IFS(D263&gt;=_xlfn.PERCENTILE.INC($D$2:$D$288,0.8),5,D263&gt;=_xlfn.PERCENTILE.INC($D$2:$D$288,0.6),4,D263&gt;=_xlfn.PERCENTILE.INC($D$2:$D$288,0.4),3,D263&gt;=_xlfn.PERCENTILE.INC($D$2:$D$288,0.2),2,TRUE,1)</f>
        <v>2</v>
      </c>
      <c r="H263" s="1">
        <f t="shared" si="4"/>
        <v>5</v>
      </c>
      <c r="I263" s="1" t="str" cm="1">
        <f t="array" ref="I263">_xlfn.IFS(H263&gt;=13,"Best Customers",H263&gt;=10,"Loyal Customers",H263&gt;=7,"Potential Loyal Customers",H263&gt;=4,"Need Attention",TRUE,"At Risk")</f>
        <v>Need Attention</v>
      </c>
    </row>
    <row r="264" spans="1:9">
      <c r="A264" s="1" t="s">
        <v>1082</v>
      </c>
      <c r="B264" s="9">
        <v>214.59086805560199</v>
      </c>
      <c r="C264" s="1">
        <v>2</v>
      </c>
      <c r="D264" s="4">
        <v>48.74</v>
      </c>
      <c r="E264" s="1" cm="1">
        <f t="array" ref="E264">_xlfn.IFS(B264&lt;=_xlfn.PERCENTILE.INC($B$2:$B$288,0.2),5,B264&lt;=_xlfn.PERCENTILE.INC($B$2:$B$288,0.4),4,B264&lt;=_xlfn.PERCENTILE.INC($B$2:$B$288,0.6),3,B264&lt;=_xlfn.PERCENTILE.INC($B$2:$B$288,0.8),2,TRUE,1)</f>
        <v>1</v>
      </c>
      <c r="F264" s="1" cm="1">
        <f t="array" ref="F264">_xlfn.IFS(C264&gt;=_xlfn.PERCENTILE.INC($C$2:$C$288,0.8),5,C264&gt;=_xlfn.PERCENTILE.INC($C$2:$C$288,0.6),4,C264&gt;=_xlfn.PERCENTILE.INC($C$2:$C$288,0.4),3,C264&gt;=_xlfn.PERCENTILE.INC($C$2:$C$288,0.2),2,TRUE,1)</f>
        <v>2</v>
      </c>
      <c r="G264" s="1" cm="1">
        <f t="array" ref="G264">_xlfn.IFS(D264&gt;=_xlfn.PERCENTILE.INC($D$2:$D$288,0.8),5,D264&gt;=_xlfn.PERCENTILE.INC($D$2:$D$288,0.6),4,D264&gt;=_xlfn.PERCENTILE.INC($D$2:$D$288,0.4),3,D264&gt;=_xlfn.PERCENTILE.INC($D$2:$D$288,0.2),2,TRUE,1)</f>
        <v>3</v>
      </c>
      <c r="H264" s="1">
        <f t="shared" si="4"/>
        <v>6</v>
      </c>
      <c r="I264" s="1" t="str" cm="1">
        <f t="array" ref="I264">_xlfn.IFS(H264&gt;=13,"Best Customers",H264&gt;=10,"Loyal Customers",H264&gt;=7,"Potential Loyal Customers",H264&gt;=4,"Need Attention",TRUE,"At Risk")</f>
        <v>Need Attention</v>
      </c>
    </row>
    <row r="265" spans="1:9">
      <c r="A265" s="1" t="s">
        <v>922</v>
      </c>
      <c r="B265" s="9">
        <v>137.59086805560199</v>
      </c>
      <c r="C265" s="1">
        <v>3</v>
      </c>
      <c r="D265" s="4">
        <v>34.479999999999997</v>
      </c>
      <c r="E265" s="1" cm="1">
        <f t="array" ref="E265">_xlfn.IFS(B265&lt;=_xlfn.PERCENTILE.INC($B$2:$B$288,0.2),5,B265&lt;=_xlfn.PERCENTILE.INC($B$2:$B$288,0.4),4,B265&lt;=_xlfn.PERCENTILE.INC($B$2:$B$288,0.6),3,B265&lt;=_xlfn.PERCENTILE.INC($B$2:$B$288,0.8),2,TRUE,1)</f>
        <v>2</v>
      </c>
      <c r="F265" s="1" cm="1">
        <f t="array" ref="F265">_xlfn.IFS(C265&gt;=_xlfn.PERCENTILE.INC($C$2:$C$288,0.8),5,C265&gt;=_xlfn.PERCENTILE.INC($C$2:$C$288,0.6),4,C265&gt;=_xlfn.PERCENTILE.INC($C$2:$C$288,0.4),3,C265&gt;=_xlfn.PERCENTILE.INC($C$2:$C$288,0.2),2,TRUE,1)</f>
        <v>3</v>
      </c>
      <c r="G265" s="1" cm="1">
        <f t="array" ref="G265">_xlfn.IFS(D265&gt;=_xlfn.PERCENTILE.INC($D$2:$D$288,0.8),5,D265&gt;=_xlfn.PERCENTILE.INC($D$2:$D$288,0.6),4,D265&gt;=_xlfn.PERCENTILE.INC($D$2:$D$288,0.4),3,D265&gt;=_xlfn.PERCENTILE.INC($D$2:$D$288,0.2),2,TRUE,1)</f>
        <v>2</v>
      </c>
      <c r="H265" s="1">
        <f t="shared" si="4"/>
        <v>7</v>
      </c>
      <c r="I265" s="1" t="str" cm="1">
        <f t="array" ref="I265">_xlfn.IFS(H265&gt;=13,"Best Customers",H265&gt;=10,"Loyal Customers",H265&gt;=7,"Potential Loyal Customers",H265&gt;=4,"Need Attention",TRUE,"At Risk")</f>
        <v>Potential Loyal Customers</v>
      </c>
    </row>
    <row r="266" spans="1:9">
      <c r="A266" s="1" t="s">
        <v>450</v>
      </c>
      <c r="B266" s="9">
        <v>86.590868055602201</v>
      </c>
      <c r="C266" s="1">
        <v>2</v>
      </c>
      <c r="D266" s="4">
        <v>27.89</v>
      </c>
      <c r="E266" s="1" cm="1">
        <f t="array" ref="E266">_xlfn.IFS(B266&lt;=_xlfn.PERCENTILE.INC($B$2:$B$288,0.2),5,B266&lt;=_xlfn.PERCENTILE.INC($B$2:$B$288,0.4),4,B266&lt;=_xlfn.PERCENTILE.INC($B$2:$B$288,0.6),3,B266&lt;=_xlfn.PERCENTILE.INC($B$2:$B$288,0.8),2,TRUE,1)</f>
        <v>3</v>
      </c>
      <c r="F266" s="1" cm="1">
        <f t="array" ref="F266">_xlfn.IFS(C266&gt;=_xlfn.PERCENTILE.INC($C$2:$C$288,0.8),5,C266&gt;=_xlfn.PERCENTILE.INC($C$2:$C$288,0.6),4,C266&gt;=_xlfn.PERCENTILE.INC($C$2:$C$288,0.4),3,C266&gt;=_xlfn.PERCENTILE.INC($C$2:$C$288,0.2),2,TRUE,1)</f>
        <v>2</v>
      </c>
      <c r="G266" s="1" cm="1">
        <f t="array" ref="G266">_xlfn.IFS(D266&gt;=_xlfn.PERCENTILE.INC($D$2:$D$288,0.8),5,D266&gt;=_xlfn.PERCENTILE.INC($D$2:$D$288,0.6),4,D266&gt;=_xlfn.PERCENTILE.INC($D$2:$D$288,0.4),3,D266&gt;=_xlfn.PERCENTILE.INC($D$2:$D$288,0.2),2,TRUE,1)</f>
        <v>2</v>
      </c>
      <c r="H266" s="1">
        <f t="shared" si="4"/>
        <v>7</v>
      </c>
      <c r="I266" s="1" t="str" cm="1">
        <f t="array" ref="I266">_xlfn.IFS(H266&gt;=13,"Best Customers",H266&gt;=10,"Loyal Customers",H266&gt;=7,"Potential Loyal Customers",H266&gt;=4,"Need Attention",TRUE,"At Risk")</f>
        <v>Potential Loyal Customers</v>
      </c>
    </row>
    <row r="267" spans="1:9">
      <c r="A267" s="1" t="s">
        <v>1180</v>
      </c>
      <c r="B267" s="9">
        <v>337.59086805560202</v>
      </c>
      <c r="C267" s="1">
        <v>1</v>
      </c>
      <c r="D267" s="4">
        <v>5.19</v>
      </c>
      <c r="E267" s="1" cm="1">
        <f t="array" ref="E267">_xlfn.IFS(B267&lt;=_xlfn.PERCENTILE.INC($B$2:$B$288,0.2),5,B267&lt;=_xlfn.PERCENTILE.INC($B$2:$B$288,0.4),4,B267&lt;=_xlfn.PERCENTILE.INC($B$2:$B$288,0.6),3,B267&lt;=_xlfn.PERCENTILE.INC($B$2:$B$288,0.8),2,TRUE,1)</f>
        <v>1</v>
      </c>
      <c r="F267" s="1" cm="1">
        <f t="array" ref="F267">_xlfn.IFS(C267&gt;=_xlfn.PERCENTILE.INC($C$2:$C$288,0.8),5,C267&gt;=_xlfn.PERCENTILE.INC($C$2:$C$288,0.6),4,C267&gt;=_xlfn.PERCENTILE.INC($C$2:$C$288,0.4),3,C267&gt;=_xlfn.PERCENTILE.INC($C$2:$C$288,0.2),2,TRUE,1)</f>
        <v>1</v>
      </c>
      <c r="G267" s="1" cm="1">
        <f t="array" ref="G267">_xlfn.IFS(D267&gt;=_xlfn.PERCENTILE.INC($D$2:$D$288,0.8),5,D267&gt;=_xlfn.PERCENTILE.INC($D$2:$D$288,0.6),4,D267&gt;=_xlfn.PERCENTILE.INC($D$2:$D$288,0.4),3,D267&gt;=_xlfn.PERCENTILE.INC($D$2:$D$288,0.2),2,TRUE,1)</f>
        <v>1</v>
      </c>
      <c r="H267" s="1">
        <f t="shared" si="4"/>
        <v>3</v>
      </c>
      <c r="I267" s="1" t="str" cm="1">
        <f t="array" ref="I267">_xlfn.IFS(H267&gt;=13,"Best Customers",H267&gt;=10,"Loyal Customers",H267&gt;=7,"Potential Loyal Customers",H267&gt;=4,"Need Attention",TRUE,"At Risk")</f>
        <v>At Risk</v>
      </c>
    </row>
    <row r="268" spans="1:9">
      <c r="A268" s="1" t="s">
        <v>422</v>
      </c>
      <c r="B268" s="9">
        <v>195.59086805560199</v>
      </c>
      <c r="C268" s="1">
        <v>2</v>
      </c>
      <c r="D268" s="4">
        <v>11.09</v>
      </c>
      <c r="E268" s="1" cm="1">
        <f t="array" ref="E268">_xlfn.IFS(B268&lt;=_xlfn.PERCENTILE.INC($B$2:$B$288,0.2),5,B268&lt;=_xlfn.PERCENTILE.INC($B$2:$B$288,0.4),4,B268&lt;=_xlfn.PERCENTILE.INC($B$2:$B$288,0.6),3,B268&lt;=_xlfn.PERCENTILE.INC($B$2:$B$288,0.8),2,TRUE,1)</f>
        <v>1</v>
      </c>
      <c r="F268" s="1" cm="1">
        <f t="array" ref="F268">_xlfn.IFS(C268&gt;=_xlfn.PERCENTILE.INC($C$2:$C$288,0.8),5,C268&gt;=_xlfn.PERCENTILE.INC($C$2:$C$288,0.6),4,C268&gt;=_xlfn.PERCENTILE.INC($C$2:$C$288,0.4),3,C268&gt;=_xlfn.PERCENTILE.INC($C$2:$C$288,0.2),2,TRUE,1)</f>
        <v>2</v>
      </c>
      <c r="G268" s="1" cm="1">
        <f t="array" ref="G268">_xlfn.IFS(D268&gt;=_xlfn.PERCENTILE.INC($D$2:$D$288,0.8),5,D268&gt;=_xlfn.PERCENTILE.INC($D$2:$D$288,0.6),4,D268&gt;=_xlfn.PERCENTILE.INC($D$2:$D$288,0.4),3,D268&gt;=_xlfn.PERCENTILE.INC($D$2:$D$288,0.2),2,TRUE,1)</f>
        <v>1</v>
      </c>
      <c r="H268" s="1">
        <f t="shared" si="4"/>
        <v>4</v>
      </c>
      <c r="I268" s="1" t="str" cm="1">
        <f t="array" ref="I268">_xlfn.IFS(H268&gt;=13,"Best Customers",H268&gt;=10,"Loyal Customers",H268&gt;=7,"Potential Loyal Customers",H268&gt;=4,"Need Attention",TRUE,"At Risk")</f>
        <v>Need Attention</v>
      </c>
    </row>
    <row r="269" spans="1:9">
      <c r="A269" s="1" t="s">
        <v>444</v>
      </c>
      <c r="B269" s="9">
        <v>197.59086805560199</v>
      </c>
      <c r="C269" s="1">
        <v>3</v>
      </c>
      <c r="D269" s="4">
        <v>47.22</v>
      </c>
      <c r="E269" s="1" cm="1">
        <f t="array" ref="E269">_xlfn.IFS(B269&lt;=_xlfn.PERCENTILE.INC($B$2:$B$288,0.2),5,B269&lt;=_xlfn.PERCENTILE.INC($B$2:$B$288,0.4),4,B269&lt;=_xlfn.PERCENTILE.INC($B$2:$B$288,0.6),3,B269&lt;=_xlfn.PERCENTILE.INC($B$2:$B$288,0.8),2,TRUE,1)</f>
        <v>1</v>
      </c>
      <c r="F269" s="1" cm="1">
        <f t="array" ref="F269">_xlfn.IFS(C269&gt;=_xlfn.PERCENTILE.INC($C$2:$C$288,0.8),5,C269&gt;=_xlfn.PERCENTILE.INC($C$2:$C$288,0.6),4,C269&gt;=_xlfn.PERCENTILE.INC($C$2:$C$288,0.4),3,C269&gt;=_xlfn.PERCENTILE.INC($C$2:$C$288,0.2),2,TRUE,1)</f>
        <v>3</v>
      </c>
      <c r="G269" s="1" cm="1">
        <f t="array" ref="G269">_xlfn.IFS(D269&gt;=_xlfn.PERCENTILE.INC($D$2:$D$288,0.8),5,D269&gt;=_xlfn.PERCENTILE.INC($D$2:$D$288,0.6),4,D269&gt;=_xlfn.PERCENTILE.INC($D$2:$D$288,0.4),3,D269&gt;=_xlfn.PERCENTILE.INC($D$2:$D$288,0.2),2,TRUE,1)</f>
        <v>3</v>
      </c>
      <c r="H269" s="1">
        <f t="shared" si="4"/>
        <v>7</v>
      </c>
      <c r="I269" s="1" t="str" cm="1">
        <f t="array" ref="I269">_xlfn.IFS(H269&gt;=13,"Best Customers",H269&gt;=10,"Loyal Customers",H269&gt;=7,"Potential Loyal Customers",H269&gt;=4,"Need Attention",TRUE,"At Risk")</f>
        <v>Potential Loyal Customers</v>
      </c>
    </row>
    <row r="270" spans="1:9">
      <c r="A270" s="1" t="s">
        <v>183</v>
      </c>
      <c r="B270" s="9">
        <v>25.590868055602201</v>
      </c>
      <c r="C270" s="1">
        <v>6</v>
      </c>
      <c r="D270" s="4">
        <v>70.48</v>
      </c>
      <c r="E270" s="1" cm="1">
        <f t="array" ref="E270">_xlfn.IFS(B270&lt;=_xlfn.PERCENTILE.INC($B$2:$B$288,0.2),5,B270&lt;=_xlfn.PERCENTILE.INC($B$2:$B$288,0.4),4,B270&lt;=_xlfn.PERCENTILE.INC($B$2:$B$288,0.6),3,B270&lt;=_xlfn.PERCENTILE.INC($B$2:$B$288,0.8),2,TRUE,1)</f>
        <v>4</v>
      </c>
      <c r="F270" s="1" cm="1">
        <f t="array" ref="F270">_xlfn.IFS(C270&gt;=_xlfn.PERCENTILE.INC($C$2:$C$288,0.8),5,C270&gt;=_xlfn.PERCENTILE.INC($C$2:$C$288,0.6),4,C270&gt;=_xlfn.PERCENTILE.INC($C$2:$C$288,0.4),3,C270&gt;=_xlfn.PERCENTILE.INC($C$2:$C$288,0.2),2,TRUE,1)</f>
        <v>5</v>
      </c>
      <c r="G270" s="1" cm="1">
        <f t="array" ref="G270">_xlfn.IFS(D270&gt;=_xlfn.PERCENTILE.INC($D$2:$D$288,0.8),5,D270&gt;=_xlfn.PERCENTILE.INC($D$2:$D$288,0.6),4,D270&gt;=_xlfn.PERCENTILE.INC($D$2:$D$288,0.4),3,D270&gt;=_xlfn.PERCENTILE.INC($D$2:$D$288,0.2),2,TRUE,1)</f>
        <v>4</v>
      </c>
      <c r="H270" s="1">
        <f t="shared" si="4"/>
        <v>13</v>
      </c>
      <c r="I270" s="1" t="str" cm="1">
        <f t="array" ref="I270">_xlfn.IFS(H270&gt;=13,"Best Customers",H270&gt;=10,"Loyal Customers",H270&gt;=7,"Potential Loyal Customers",H270&gt;=4,"Need Attention",TRUE,"At Risk")</f>
        <v>Best Customers</v>
      </c>
    </row>
    <row r="271" spans="1:9">
      <c r="A271" s="1" t="s">
        <v>187</v>
      </c>
      <c r="B271" s="9">
        <v>38.590868055602201</v>
      </c>
      <c r="C271" s="1">
        <v>1</v>
      </c>
      <c r="D271" s="4">
        <v>5.6</v>
      </c>
      <c r="E271" s="1" cm="1">
        <f t="array" ref="E271">_xlfn.IFS(B271&lt;=_xlfn.PERCENTILE.INC($B$2:$B$288,0.2),5,B271&lt;=_xlfn.PERCENTILE.INC($B$2:$B$288,0.4),4,B271&lt;=_xlfn.PERCENTILE.INC($B$2:$B$288,0.6),3,B271&lt;=_xlfn.PERCENTILE.INC($B$2:$B$288,0.8),2,TRUE,1)</f>
        <v>4</v>
      </c>
      <c r="F271" s="1" cm="1">
        <f t="array" ref="F271">_xlfn.IFS(C271&gt;=_xlfn.PERCENTILE.INC($C$2:$C$288,0.8),5,C271&gt;=_xlfn.PERCENTILE.INC($C$2:$C$288,0.6),4,C271&gt;=_xlfn.PERCENTILE.INC($C$2:$C$288,0.4),3,C271&gt;=_xlfn.PERCENTILE.INC($C$2:$C$288,0.2),2,TRUE,1)</f>
        <v>1</v>
      </c>
      <c r="G271" s="1" cm="1">
        <f t="array" ref="G271">_xlfn.IFS(D271&gt;=_xlfn.PERCENTILE.INC($D$2:$D$288,0.8),5,D271&gt;=_xlfn.PERCENTILE.INC($D$2:$D$288,0.6),4,D271&gt;=_xlfn.PERCENTILE.INC($D$2:$D$288,0.4),3,D271&gt;=_xlfn.PERCENTILE.INC($D$2:$D$288,0.2),2,TRUE,1)</f>
        <v>1</v>
      </c>
      <c r="H271" s="1">
        <f t="shared" si="4"/>
        <v>6</v>
      </c>
      <c r="I271" s="1" t="str" cm="1">
        <f t="array" ref="I271">_xlfn.IFS(H271&gt;=13,"Best Customers",H271&gt;=10,"Loyal Customers",H271&gt;=7,"Potential Loyal Customers",H271&gt;=4,"Need Attention",TRUE,"At Risk")</f>
        <v>Need Attention</v>
      </c>
    </row>
    <row r="272" spans="1:9">
      <c r="A272" s="1" t="s">
        <v>745</v>
      </c>
      <c r="B272" s="9">
        <v>57.590868055602201</v>
      </c>
      <c r="C272" s="1">
        <v>2</v>
      </c>
      <c r="D272" s="4">
        <v>71.95</v>
      </c>
      <c r="E272" s="1" cm="1">
        <f t="array" ref="E272">_xlfn.IFS(B272&lt;=_xlfn.PERCENTILE.INC($B$2:$B$288,0.2),5,B272&lt;=_xlfn.PERCENTILE.INC($B$2:$B$288,0.4),4,B272&lt;=_xlfn.PERCENTILE.INC($B$2:$B$288,0.6),3,B272&lt;=_xlfn.PERCENTILE.INC($B$2:$B$288,0.8),2,TRUE,1)</f>
        <v>3</v>
      </c>
      <c r="F272" s="1" cm="1">
        <f t="array" ref="F272">_xlfn.IFS(C272&gt;=_xlfn.PERCENTILE.INC($C$2:$C$288,0.8),5,C272&gt;=_xlfn.PERCENTILE.INC($C$2:$C$288,0.6),4,C272&gt;=_xlfn.PERCENTILE.INC($C$2:$C$288,0.4),3,C272&gt;=_xlfn.PERCENTILE.INC($C$2:$C$288,0.2),2,TRUE,1)</f>
        <v>2</v>
      </c>
      <c r="G272" s="1" cm="1">
        <f t="array" ref="G272">_xlfn.IFS(D272&gt;=_xlfn.PERCENTILE.INC($D$2:$D$288,0.8),5,D272&gt;=_xlfn.PERCENTILE.INC($D$2:$D$288,0.6),4,D272&gt;=_xlfn.PERCENTILE.INC($D$2:$D$288,0.4),3,D272&gt;=_xlfn.PERCENTILE.INC($D$2:$D$288,0.2),2,TRUE,1)</f>
        <v>4</v>
      </c>
      <c r="H272" s="1">
        <f t="shared" si="4"/>
        <v>9</v>
      </c>
      <c r="I272" s="1" t="str" cm="1">
        <f t="array" ref="I272">_xlfn.IFS(H272&gt;=13,"Best Customers",H272&gt;=10,"Loyal Customers",H272&gt;=7,"Potential Loyal Customers",H272&gt;=4,"Need Attention",TRUE,"At Risk")</f>
        <v>Potential Loyal Customers</v>
      </c>
    </row>
    <row r="273" spans="1:9">
      <c r="A273" s="1" t="s">
        <v>281</v>
      </c>
      <c r="B273" s="9">
        <v>85.590868055602201</v>
      </c>
      <c r="C273" s="1">
        <v>8</v>
      </c>
      <c r="D273" s="4">
        <v>143.59</v>
      </c>
      <c r="E273" s="1" cm="1">
        <f t="array" ref="E273">_xlfn.IFS(B273&lt;=_xlfn.PERCENTILE.INC($B$2:$B$288,0.2),5,B273&lt;=_xlfn.PERCENTILE.INC($B$2:$B$288,0.4),4,B273&lt;=_xlfn.PERCENTILE.INC($B$2:$B$288,0.6),3,B273&lt;=_xlfn.PERCENTILE.INC($B$2:$B$288,0.8),2,TRUE,1)</f>
        <v>3</v>
      </c>
      <c r="F273" s="1" cm="1">
        <f t="array" ref="F273">_xlfn.IFS(C273&gt;=_xlfn.PERCENTILE.INC($C$2:$C$288,0.8),5,C273&gt;=_xlfn.PERCENTILE.INC($C$2:$C$288,0.6),4,C273&gt;=_xlfn.PERCENTILE.INC($C$2:$C$288,0.4),3,C273&gt;=_xlfn.PERCENTILE.INC($C$2:$C$288,0.2),2,TRUE,1)</f>
        <v>5</v>
      </c>
      <c r="G273" s="1" cm="1">
        <f t="array" ref="G273">_xlfn.IFS(D273&gt;=_xlfn.PERCENTILE.INC($D$2:$D$288,0.8),5,D273&gt;=_xlfn.PERCENTILE.INC($D$2:$D$288,0.6),4,D273&gt;=_xlfn.PERCENTILE.INC($D$2:$D$288,0.4),3,D273&gt;=_xlfn.PERCENTILE.INC($D$2:$D$288,0.2),2,TRUE,1)</f>
        <v>5</v>
      </c>
      <c r="H273" s="1">
        <f t="shared" si="4"/>
        <v>13</v>
      </c>
      <c r="I273" s="1" t="str" cm="1">
        <f t="array" ref="I273">_xlfn.IFS(H273&gt;=13,"Best Customers",H273&gt;=10,"Loyal Customers",H273&gt;=7,"Potential Loyal Customers",H273&gt;=4,"Need Attention",TRUE,"At Risk")</f>
        <v>Best Customers</v>
      </c>
    </row>
    <row r="274" spans="1:9">
      <c r="A274" s="1" t="s">
        <v>68</v>
      </c>
      <c r="B274" s="9">
        <v>20.590868055602201</v>
      </c>
      <c r="C274" s="1">
        <v>2</v>
      </c>
      <c r="D274" s="4">
        <v>15.41</v>
      </c>
      <c r="E274" s="1" cm="1">
        <f t="array" ref="E274">_xlfn.IFS(B274&lt;=_xlfn.PERCENTILE.INC($B$2:$B$288,0.2),5,B274&lt;=_xlfn.PERCENTILE.INC($B$2:$B$288,0.4),4,B274&lt;=_xlfn.PERCENTILE.INC($B$2:$B$288,0.6),3,B274&lt;=_xlfn.PERCENTILE.INC($B$2:$B$288,0.8),2,TRUE,1)</f>
        <v>5</v>
      </c>
      <c r="F274" s="1" cm="1">
        <f t="array" ref="F274">_xlfn.IFS(C274&gt;=_xlfn.PERCENTILE.INC($C$2:$C$288,0.8),5,C274&gt;=_xlfn.PERCENTILE.INC($C$2:$C$288,0.6),4,C274&gt;=_xlfn.PERCENTILE.INC($C$2:$C$288,0.4),3,C274&gt;=_xlfn.PERCENTILE.INC($C$2:$C$288,0.2),2,TRUE,1)</f>
        <v>2</v>
      </c>
      <c r="G274" s="1" cm="1">
        <f t="array" ref="G274">_xlfn.IFS(D274&gt;=_xlfn.PERCENTILE.INC($D$2:$D$288,0.8),5,D274&gt;=_xlfn.PERCENTILE.INC($D$2:$D$288,0.6),4,D274&gt;=_xlfn.PERCENTILE.INC($D$2:$D$288,0.4),3,D274&gt;=_xlfn.PERCENTILE.INC($D$2:$D$288,0.2),2,TRUE,1)</f>
        <v>1</v>
      </c>
      <c r="H274" s="1">
        <f t="shared" si="4"/>
        <v>8</v>
      </c>
      <c r="I274" s="1" t="str" cm="1">
        <f t="array" ref="I274">_xlfn.IFS(H274&gt;=13,"Best Customers",H274&gt;=10,"Loyal Customers",H274&gt;=7,"Potential Loyal Customers",H274&gt;=4,"Need Attention",TRUE,"At Risk")</f>
        <v>Potential Loyal Customers</v>
      </c>
    </row>
    <row r="275" spans="1:9">
      <c r="A275" s="1" t="s">
        <v>221</v>
      </c>
      <c r="B275" s="9">
        <v>25.590868055602201</v>
      </c>
      <c r="C275" s="1">
        <v>4</v>
      </c>
      <c r="D275" s="4">
        <v>40.15</v>
      </c>
      <c r="E275" s="1" cm="1">
        <f t="array" ref="E275">_xlfn.IFS(B275&lt;=_xlfn.PERCENTILE.INC($B$2:$B$288,0.2),5,B275&lt;=_xlfn.PERCENTILE.INC($B$2:$B$288,0.4),4,B275&lt;=_xlfn.PERCENTILE.INC($B$2:$B$288,0.6),3,B275&lt;=_xlfn.PERCENTILE.INC($B$2:$B$288,0.8),2,TRUE,1)</f>
        <v>4</v>
      </c>
      <c r="F275" s="1" cm="1">
        <f t="array" ref="F275">_xlfn.IFS(C275&gt;=_xlfn.PERCENTILE.INC($C$2:$C$288,0.8),5,C275&gt;=_xlfn.PERCENTILE.INC($C$2:$C$288,0.6),4,C275&gt;=_xlfn.PERCENTILE.INC($C$2:$C$288,0.4),3,C275&gt;=_xlfn.PERCENTILE.INC($C$2:$C$288,0.2),2,TRUE,1)</f>
        <v>4</v>
      </c>
      <c r="G275" s="1" cm="1">
        <f t="array" ref="G275">_xlfn.IFS(D275&gt;=_xlfn.PERCENTILE.INC($D$2:$D$288,0.8),5,D275&gt;=_xlfn.PERCENTILE.INC($D$2:$D$288,0.6),4,D275&gt;=_xlfn.PERCENTILE.INC($D$2:$D$288,0.4),3,D275&gt;=_xlfn.PERCENTILE.INC($D$2:$D$288,0.2),2,TRUE,1)</f>
        <v>2</v>
      </c>
      <c r="H275" s="1">
        <f t="shared" si="4"/>
        <v>10</v>
      </c>
      <c r="I275" s="1" t="str" cm="1">
        <f t="array" ref="I275">_xlfn.IFS(H275&gt;=13,"Best Customers",H275&gt;=10,"Loyal Customers",H275&gt;=7,"Potential Loyal Customers",H275&gt;=4,"Need Attention",TRUE,"At Risk")</f>
        <v>Loyal Customers</v>
      </c>
    </row>
    <row r="276" spans="1:9">
      <c r="A276" s="1" t="s">
        <v>98</v>
      </c>
      <c r="B276" s="9">
        <v>47.590868055602201</v>
      </c>
      <c r="C276" s="1">
        <v>7</v>
      </c>
      <c r="D276" s="4">
        <v>88.53</v>
      </c>
      <c r="E276" s="1" cm="1">
        <f t="array" ref="E276">_xlfn.IFS(B276&lt;=_xlfn.PERCENTILE.INC($B$2:$B$288,0.2),5,B276&lt;=_xlfn.PERCENTILE.INC($B$2:$B$288,0.4),4,B276&lt;=_xlfn.PERCENTILE.INC($B$2:$B$288,0.6),3,B276&lt;=_xlfn.PERCENTILE.INC($B$2:$B$288,0.8),2,TRUE,1)</f>
        <v>4</v>
      </c>
      <c r="F276" s="1" cm="1">
        <f t="array" ref="F276">_xlfn.IFS(C276&gt;=_xlfn.PERCENTILE.INC($C$2:$C$288,0.8),5,C276&gt;=_xlfn.PERCENTILE.INC($C$2:$C$288,0.6),4,C276&gt;=_xlfn.PERCENTILE.INC($C$2:$C$288,0.4),3,C276&gt;=_xlfn.PERCENTILE.INC($C$2:$C$288,0.2),2,TRUE,1)</f>
        <v>5</v>
      </c>
      <c r="G276" s="1" cm="1">
        <f t="array" ref="G276">_xlfn.IFS(D276&gt;=_xlfn.PERCENTILE.INC($D$2:$D$288,0.8),5,D276&gt;=_xlfn.PERCENTILE.INC($D$2:$D$288,0.6),4,D276&gt;=_xlfn.PERCENTILE.INC($D$2:$D$288,0.4),3,D276&gt;=_xlfn.PERCENTILE.INC($D$2:$D$288,0.2),2,TRUE,1)</f>
        <v>4</v>
      </c>
      <c r="H276" s="1">
        <f t="shared" si="4"/>
        <v>13</v>
      </c>
      <c r="I276" s="1" t="str" cm="1">
        <f t="array" ref="I276">_xlfn.IFS(H276&gt;=13,"Best Customers",H276&gt;=10,"Loyal Customers",H276&gt;=7,"Potential Loyal Customers",H276&gt;=4,"Need Attention",TRUE,"At Risk")</f>
        <v>Best Customers</v>
      </c>
    </row>
    <row r="277" spans="1:9">
      <c r="A277" s="1" t="s">
        <v>134</v>
      </c>
      <c r="B277" s="9">
        <v>83.590868055602201</v>
      </c>
      <c r="C277" s="1">
        <v>7</v>
      </c>
      <c r="D277" s="4">
        <v>121.17</v>
      </c>
      <c r="E277" s="1" cm="1">
        <f t="array" ref="E277">_xlfn.IFS(B277&lt;=_xlfn.PERCENTILE.INC($B$2:$B$288,0.2),5,B277&lt;=_xlfn.PERCENTILE.INC($B$2:$B$288,0.4),4,B277&lt;=_xlfn.PERCENTILE.INC($B$2:$B$288,0.6),3,B277&lt;=_xlfn.PERCENTILE.INC($B$2:$B$288,0.8),2,TRUE,1)</f>
        <v>3</v>
      </c>
      <c r="F277" s="1" cm="1">
        <f t="array" ref="F277">_xlfn.IFS(C277&gt;=_xlfn.PERCENTILE.INC($C$2:$C$288,0.8),5,C277&gt;=_xlfn.PERCENTILE.INC($C$2:$C$288,0.6),4,C277&gt;=_xlfn.PERCENTILE.INC($C$2:$C$288,0.4),3,C277&gt;=_xlfn.PERCENTILE.INC($C$2:$C$288,0.2),2,TRUE,1)</f>
        <v>5</v>
      </c>
      <c r="G277" s="1" cm="1">
        <f t="array" ref="G277">_xlfn.IFS(D277&gt;=_xlfn.PERCENTILE.INC($D$2:$D$288,0.8),5,D277&gt;=_xlfn.PERCENTILE.INC($D$2:$D$288,0.6),4,D277&gt;=_xlfn.PERCENTILE.INC($D$2:$D$288,0.4),3,D277&gt;=_xlfn.PERCENTILE.INC($D$2:$D$288,0.2),2,TRUE,1)</f>
        <v>5</v>
      </c>
      <c r="H277" s="1">
        <f t="shared" si="4"/>
        <v>13</v>
      </c>
      <c r="I277" s="1" t="str" cm="1">
        <f t="array" ref="I277">_xlfn.IFS(H277&gt;=13,"Best Customers",H277&gt;=10,"Loyal Customers",H277&gt;=7,"Potential Loyal Customers",H277&gt;=4,"Need Attention",TRUE,"At Risk")</f>
        <v>Best Customers</v>
      </c>
    </row>
    <row r="278" spans="1:9">
      <c r="A278" s="1" t="s">
        <v>1142</v>
      </c>
      <c r="B278" s="9">
        <v>232.59086805560199</v>
      </c>
      <c r="C278" s="1">
        <v>2</v>
      </c>
      <c r="D278" s="4">
        <v>69.790000000000006</v>
      </c>
      <c r="E278" s="1" cm="1">
        <f t="array" ref="E278">_xlfn.IFS(B278&lt;=_xlfn.PERCENTILE.INC($B$2:$B$288,0.2),5,B278&lt;=_xlfn.PERCENTILE.INC($B$2:$B$288,0.4),4,B278&lt;=_xlfn.PERCENTILE.INC($B$2:$B$288,0.6),3,B278&lt;=_xlfn.PERCENTILE.INC($B$2:$B$288,0.8),2,TRUE,1)</f>
        <v>1</v>
      </c>
      <c r="F278" s="1" cm="1">
        <f t="array" ref="F278">_xlfn.IFS(C278&gt;=_xlfn.PERCENTILE.INC($C$2:$C$288,0.8),5,C278&gt;=_xlfn.PERCENTILE.INC($C$2:$C$288,0.6),4,C278&gt;=_xlfn.PERCENTILE.INC($C$2:$C$288,0.4),3,C278&gt;=_xlfn.PERCENTILE.INC($C$2:$C$288,0.2),2,TRUE,1)</f>
        <v>2</v>
      </c>
      <c r="G278" s="1" cm="1">
        <f t="array" ref="G278">_xlfn.IFS(D278&gt;=_xlfn.PERCENTILE.INC($D$2:$D$288,0.8),5,D278&gt;=_xlfn.PERCENTILE.INC($D$2:$D$288,0.6),4,D278&gt;=_xlfn.PERCENTILE.INC($D$2:$D$288,0.4),3,D278&gt;=_xlfn.PERCENTILE.INC($D$2:$D$288,0.2),2,TRUE,1)</f>
        <v>4</v>
      </c>
      <c r="H278" s="1">
        <f t="shared" si="4"/>
        <v>7</v>
      </c>
      <c r="I278" s="1" t="str" cm="1">
        <f t="array" ref="I278">_xlfn.IFS(H278&gt;=13,"Best Customers",H278&gt;=10,"Loyal Customers",H278&gt;=7,"Potential Loyal Customers",H278&gt;=4,"Need Attention",TRUE,"At Risk")</f>
        <v>Potential Loyal Customers</v>
      </c>
    </row>
    <row r="279" spans="1:9">
      <c r="A279" s="1" t="s">
        <v>70</v>
      </c>
      <c r="B279" s="9">
        <v>19.590868055602201</v>
      </c>
      <c r="C279" s="1">
        <v>6</v>
      </c>
      <c r="D279" s="4">
        <v>125.53</v>
      </c>
      <c r="E279" s="1" cm="1">
        <f t="array" ref="E279">_xlfn.IFS(B279&lt;=_xlfn.PERCENTILE.INC($B$2:$B$288,0.2),5,B279&lt;=_xlfn.PERCENTILE.INC($B$2:$B$288,0.4),4,B279&lt;=_xlfn.PERCENTILE.INC($B$2:$B$288,0.6),3,B279&lt;=_xlfn.PERCENTILE.INC($B$2:$B$288,0.8),2,TRUE,1)</f>
        <v>5</v>
      </c>
      <c r="F279" s="1" cm="1">
        <f t="array" ref="F279">_xlfn.IFS(C279&gt;=_xlfn.PERCENTILE.INC($C$2:$C$288,0.8),5,C279&gt;=_xlfn.PERCENTILE.INC($C$2:$C$288,0.6),4,C279&gt;=_xlfn.PERCENTILE.INC($C$2:$C$288,0.4),3,C279&gt;=_xlfn.PERCENTILE.INC($C$2:$C$288,0.2),2,TRUE,1)</f>
        <v>5</v>
      </c>
      <c r="G279" s="1" cm="1">
        <f t="array" ref="G279">_xlfn.IFS(D279&gt;=_xlfn.PERCENTILE.INC($D$2:$D$288,0.8),5,D279&gt;=_xlfn.PERCENTILE.INC($D$2:$D$288,0.6),4,D279&gt;=_xlfn.PERCENTILE.INC($D$2:$D$288,0.4),3,D279&gt;=_xlfn.PERCENTILE.INC($D$2:$D$288,0.2),2,TRUE,1)</f>
        <v>5</v>
      </c>
      <c r="H279" s="1">
        <f t="shared" si="4"/>
        <v>15</v>
      </c>
      <c r="I279" s="1" t="str" cm="1">
        <f t="array" ref="I279">_xlfn.IFS(H279&gt;=13,"Best Customers",H279&gt;=10,"Loyal Customers",H279&gt;=7,"Potential Loyal Customers",H279&gt;=4,"Need Attention",TRUE,"At Risk")</f>
        <v>Best Customers</v>
      </c>
    </row>
    <row r="280" spans="1:9">
      <c r="A280" s="1" t="s">
        <v>181</v>
      </c>
      <c r="B280" s="9">
        <v>64.590868055602201</v>
      </c>
      <c r="C280" s="1">
        <v>3</v>
      </c>
      <c r="D280" s="4">
        <v>69.42</v>
      </c>
      <c r="E280" s="1" cm="1">
        <f t="array" ref="E280">_xlfn.IFS(B280&lt;=_xlfn.PERCENTILE.INC($B$2:$B$288,0.2),5,B280&lt;=_xlfn.PERCENTILE.INC($B$2:$B$288,0.4),4,B280&lt;=_xlfn.PERCENTILE.INC($B$2:$B$288,0.6),3,B280&lt;=_xlfn.PERCENTILE.INC($B$2:$B$288,0.8),2,TRUE,1)</f>
        <v>3</v>
      </c>
      <c r="F280" s="1" cm="1">
        <f t="array" ref="F280">_xlfn.IFS(C280&gt;=_xlfn.PERCENTILE.INC($C$2:$C$288,0.8),5,C280&gt;=_xlfn.PERCENTILE.INC($C$2:$C$288,0.6),4,C280&gt;=_xlfn.PERCENTILE.INC($C$2:$C$288,0.4),3,C280&gt;=_xlfn.PERCENTILE.INC($C$2:$C$288,0.2),2,TRUE,1)</f>
        <v>3</v>
      </c>
      <c r="G280" s="1" cm="1">
        <f t="array" ref="G280">_xlfn.IFS(D280&gt;=_xlfn.PERCENTILE.INC($D$2:$D$288,0.8),5,D280&gt;=_xlfn.PERCENTILE.INC($D$2:$D$288,0.6),4,D280&gt;=_xlfn.PERCENTILE.INC($D$2:$D$288,0.4),3,D280&gt;=_xlfn.PERCENTILE.INC($D$2:$D$288,0.2),2,TRUE,1)</f>
        <v>4</v>
      </c>
      <c r="H280" s="1">
        <f t="shared" si="4"/>
        <v>10</v>
      </c>
      <c r="I280" s="1" t="str" cm="1">
        <f t="array" ref="I280">_xlfn.IFS(H280&gt;=13,"Best Customers",H280&gt;=10,"Loyal Customers",H280&gt;=7,"Potential Loyal Customers",H280&gt;=4,"Need Attention",TRUE,"At Risk")</f>
        <v>Loyal Customers</v>
      </c>
    </row>
    <row r="281" spans="1:9">
      <c r="A281" s="1" t="s">
        <v>213</v>
      </c>
      <c r="B281" s="9">
        <v>16.590868055602201</v>
      </c>
      <c r="C281" s="1">
        <v>12</v>
      </c>
      <c r="D281" s="4">
        <v>190.97</v>
      </c>
      <c r="E281" s="1" cm="1">
        <f t="array" ref="E281">_xlfn.IFS(B281&lt;=_xlfn.PERCENTILE.INC($B$2:$B$288,0.2),5,B281&lt;=_xlfn.PERCENTILE.INC($B$2:$B$288,0.4),4,B281&lt;=_xlfn.PERCENTILE.INC($B$2:$B$288,0.6),3,B281&lt;=_xlfn.PERCENTILE.INC($B$2:$B$288,0.8),2,TRUE,1)</f>
        <v>5</v>
      </c>
      <c r="F281" s="1" cm="1">
        <f t="array" ref="F281">_xlfn.IFS(C281&gt;=_xlfn.PERCENTILE.INC($C$2:$C$288,0.8),5,C281&gt;=_xlfn.PERCENTILE.INC($C$2:$C$288,0.6),4,C281&gt;=_xlfn.PERCENTILE.INC($C$2:$C$288,0.4),3,C281&gt;=_xlfn.PERCENTILE.INC($C$2:$C$288,0.2),2,TRUE,1)</f>
        <v>5</v>
      </c>
      <c r="G281" s="1" cm="1">
        <f t="array" ref="G281">_xlfn.IFS(D281&gt;=_xlfn.PERCENTILE.INC($D$2:$D$288,0.8),5,D281&gt;=_xlfn.PERCENTILE.INC($D$2:$D$288,0.6),4,D281&gt;=_xlfn.PERCENTILE.INC($D$2:$D$288,0.4),3,D281&gt;=_xlfn.PERCENTILE.INC($D$2:$D$288,0.2),2,TRUE,1)</f>
        <v>5</v>
      </c>
      <c r="H281" s="1">
        <f t="shared" si="4"/>
        <v>15</v>
      </c>
      <c r="I281" s="1" t="str" cm="1">
        <f t="array" ref="I281">_xlfn.IFS(H281&gt;=13,"Best Customers",H281&gt;=10,"Loyal Customers",H281&gt;=7,"Potential Loyal Customers",H281&gt;=4,"Need Attention",TRUE,"At Risk")</f>
        <v>Best Customers</v>
      </c>
    </row>
    <row r="282" spans="1:9">
      <c r="A282" s="1" t="s">
        <v>155</v>
      </c>
      <c r="B282" s="9">
        <v>124.590868055602</v>
      </c>
      <c r="C282" s="1">
        <v>3</v>
      </c>
      <c r="D282" s="4">
        <v>59.38</v>
      </c>
      <c r="E282" s="1" cm="1">
        <f t="array" ref="E282">_xlfn.IFS(B282&lt;=_xlfn.PERCENTILE.INC($B$2:$B$288,0.2),5,B282&lt;=_xlfn.PERCENTILE.INC($B$2:$B$288,0.4),4,B282&lt;=_xlfn.PERCENTILE.INC($B$2:$B$288,0.6),3,B282&lt;=_xlfn.PERCENTILE.INC($B$2:$B$288,0.8),2,TRUE,1)</f>
        <v>2</v>
      </c>
      <c r="F282" s="1" cm="1">
        <f t="array" ref="F282">_xlfn.IFS(C282&gt;=_xlfn.PERCENTILE.INC($C$2:$C$288,0.8),5,C282&gt;=_xlfn.PERCENTILE.INC($C$2:$C$288,0.6),4,C282&gt;=_xlfn.PERCENTILE.INC($C$2:$C$288,0.4),3,C282&gt;=_xlfn.PERCENTILE.INC($C$2:$C$288,0.2),2,TRUE,1)</f>
        <v>3</v>
      </c>
      <c r="G282" s="1" cm="1">
        <f t="array" ref="G282">_xlfn.IFS(D282&gt;=_xlfn.PERCENTILE.INC($D$2:$D$288,0.8),5,D282&gt;=_xlfn.PERCENTILE.INC($D$2:$D$288,0.6),4,D282&gt;=_xlfn.PERCENTILE.INC($D$2:$D$288,0.4),3,D282&gt;=_xlfn.PERCENTILE.INC($D$2:$D$288,0.2),2,TRUE,1)</f>
        <v>3</v>
      </c>
      <c r="H282" s="1">
        <f t="shared" si="4"/>
        <v>8</v>
      </c>
      <c r="I282" s="1" t="str" cm="1">
        <f t="array" ref="I282">_xlfn.IFS(H282&gt;=13,"Best Customers",H282&gt;=10,"Loyal Customers",H282&gt;=7,"Potential Loyal Customers",H282&gt;=4,"Need Attention",TRUE,"At Risk")</f>
        <v>Potential Loyal Customers</v>
      </c>
    </row>
    <row r="283" spans="1:9">
      <c r="A283" s="1" t="s">
        <v>92</v>
      </c>
      <c r="B283" s="9">
        <v>90.590868055602201</v>
      </c>
      <c r="C283" s="1">
        <v>5</v>
      </c>
      <c r="D283" s="4">
        <v>57.31</v>
      </c>
      <c r="E283" s="1" cm="1">
        <f t="array" ref="E283">_xlfn.IFS(B283&lt;=_xlfn.PERCENTILE.INC($B$2:$B$288,0.2),5,B283&lt;=_xlfn.PERCENTILE.INC($B$2:$B$288,0.4),4,B283&lt;=_xlfn.PERCENTILE.INC($B$2:$B$288,0.6),3,B283&lt;=_xlfn.PERCENTILE.INC($B$2:$B$288,0.8),2,TRUE,1)</f>
        <v>3</v>
      </c>
      <c r="F283" s="1" cm="1">
        <f t="array" ref="F283">_xlfn.IFS(C283&gt;=_xlfn.PERCENTILE.INC($C$2:$C$288,0.8),5,C283&gt;=_xlfn.PERCENTILE.INC($C$2:$C$288,0.6),4,C283&gt;=_xlfn.PERCENTILE.INC($C$2:$C$288,0.4),3,C283&gt;=_xlfn.PERCENTILE.INC($C$2:$C$288,0.2),2,TRUE,1)</f>
        <v>5</v>
      </c>
      <c r="G283" s="1" cm="1">
        <f t="array" ref="G283">_xlfn.IFS(D283&gt;=_xlfn.PERCENTILE.INC($D$2:$D$288,0.8),5,D283&gt;=_xlfn.PERCENTILE.INC($D$2:$D$288,0.6),4,D283&gt;=_xlfn.PERCENTILE.INC($D$2:$D$288,0.4),3,D283&gt;=_xlfn.PERCENTILE.INC($D$2:$D$288,0.2),2,TRUE,1)</f>
        <v>3</v>
      </c>
      <c r="H283" s="1">
        <f t="shared" si="4"/>
        <v>11</v>
      </c>
      <c r="I283" s="1" t="str" cm="1">
        <f t="array" ref="I283">_xlfn.IFS(H283&gt;=13,"Best Customers",H283&gt;=10,"Loyal Customers",H283&gt;=7,"Potential Loyal Customers",H283&gt;=4,"Need Attention",TRUE,"At Risk")</f>
        <v>Loyal Customers</v>
      </c>
    </row>
    <row r="284" spans="1:9">
      <c r="A284" s="1" t="s">
        <v>58</v>
      </c>
      <c r="B284" s="9">
        <v>45.590868055602201</v>
      </c>
      <c r="C284" s="1">
        <v>5</v>
      </c>
      <c r="D284" s="4">
        <v>97.41</v>
      </c>
      <c r="E284" s="1" cm="1">
        <f t="array" ref="E284">_xlfn.IFS(B284&lt;=_xlfn.PERCENTILE.INC($B$2:$B$288,0.2),5,B284&lt;=_xlfn.PERCENTILE.INC($B$2:$B$288,0.4),4,B284&lt;=_xlfn.PERCENTILE.INC($B$2:$B$288,0.6),3,B284&lt;=_xlfn.PERCENTILE.INC($B$2:$B$288,0.8),2,TRUE,1)</f>
        <v>4</v>
      </c>
      <c r="F284" s="1" cm="1">
        <f t="array" ref="F284">_xlfn.IFS(C284&gt;=_xlfn.PERCENTILE.INC($C$2:$C$288,0.8),5,C284&gt;=_xlfn.PERCENTILE.INC($C$2:$C$288,0.6),4,C284&gt;=_xlfn.PERCENTILE.INC($C$2:$C$288,0.4),3,C284&gt;=_xlfn.PERCENTILE.INC($C$2:$C$288,0.2),2,TRUE,1)</f>
        <v>5</v>
      </c>
      <c r="G284" s="1" cm="1">
        <f t="array" ref="G284">_xlfn.IFS(D284&gt;=_xlfn.PERCENTILE.INC($D$2:$D$288,0.8),5,D284&gt;=_xlfn.PERCENTILE.INC($D$2:$D$288,0.6),4,D284&gt;=_xlfn.PERCENTILE.INC($D$2:$D$288,0.4),3,D284&gt;=_xlfn.PERCENTILE.INC($D$2:$D$288,0.2),2,TRUE,1)</f>
        <v>5</v>
      </c>
      <c r="H284" s="1">
        <f t="shared" si="4"/>
        <v>14</v>
      </c>
      <c r="I284" s="1" t="str" cm="1">
        <f t="array" ref="I284">_xlfn.IFS(H284&gt;=13,"Best Customers",H284&gt;=10,"Loyal Customers",H284&gt;=7,"Potential Loyal Customers",H284&gt;=4,"Need Attention",TRUE,"At Risk")</f>
        <v>Best Customers</v>
      </c>
    </row>
    <row r="285" spans="1:9">
      <c r="A285" s="1" t="s">
        <v>228</v>
      </c>
      <c r="B285" s="9">
        <v>5.5908680556021899</v>
      </c>
      <c r="C285" s="1">
        <v>2</v>
      </c>
      <c r="D285" s="4">
        <v>41.12</v>
      </c>
      <c r="E285" s="1" cm="1">
        <f t="array" ref="E285">_xlfn.IFS(B285&lt;=_xlfn.PERCENTILE.INC($B$2:$B$288,0.2),5,B285&lt;=_xlfn.PERCENTILE.INC($B$2:$B$288,0.4),4,B285&lt;=_xlfn.PERCENTILE.INC($B$2:$B$288,0.6),3,B285&lt;=_xlfn.PERCENTILE.INC($B$2:$B$288,0.8),2,TRUE,1)</f>
        <v>5</v>
      </c>
      <c r="F285" s="1" cm="1">
        <f t="array" ref="F285">_xlfn.IFS(C285&gt;=_xlfn.PERCENTILE.INC($C$2:$C$288,0.8),5,C285&gt;=_xlfn.PERCENTILE.INC($C$2:$C$288,0.6),4,C285&gt;=_xlfn.PERCENTILE.INC($C$2:$C$288,0.4),3,C285&gt;=_xlfn.PERCENTILE.INC($C$2:$C$288,0.2),2,TRUE,1)</f>
        <v>2</v>
      </c>
      <c r="G285" s="1" cm="1">
        <f t="array" ref="G285">_xlfn.IFS(D285&gt;=_xlfn.PERCENTILE.INC($D$2:$D$288,0.8),5,D285&gt;=_xlfn.PERCENTILE.INC($D$2:$D$288,0.6),4,D285&gt;=_xlfn.PERCENTILE.INC($D$2:$D$288,0.4),3,D285&gt;=_xlfn.PERCENTILE.INC($D$2:$D$288,0.2),2,TRUE,1)</f>
        <v>2</v>
      </c>
      <c r="H285" s="1">
        <f t="shared" si="4"/>
        <v>9</v>
      </c>
      <c r="I285" s="1" t="str" cm="1">
        <f t="array" ref="I285">_xlfn.IFS(H285&gt;=13,"Best Customers",H285&gt;=10,"Loyal Customers",H285&gt;=7,"Potential Loyal Customers",H285&gt;=4,"Need Attention",TRUE,"At Risk")</f>
        <v>Potential Loyal Customers</v>
      </c>
    </row>
    <row r="286" spans="1:9">
      <c r="A286" s="1" t="s">
        <v>1052</v>
      </c>
      <c r="B286" s="9">
        <v>47.590868055602201</v>
      </c>
      <c r="C286" s="1">
        <v>2</v>
      </c>
      <c r="D286" s="4">
        <v>28.03</v>
      </c>
      <c r="E286" s="1" cm="1">
        <f t="array" ref="E286">_xlfn.IFS(B286&lt;=_xlfn.PERCENTILE.INC($B$2:$B$288,0.2),5,B286&lt;=_xlfn.PERCENTILE.INC($B$2:$B$288,0.4),4,B286&lt;=_xlfn.PERCENTILE.INC($B$2:$B$288,0.6),3,B286&lt;=_xlfn.PERCENTILE.INC($B$2:$B$288,0.8),2,TRUE,1)</f>
        <v>4</v>
      </c>
      <c r="F286" s="1" cm="1">
        <f t="array" ref="F286">_xlfn.IFS(C286&gt;=_xlfn.PERCENTILE.INC($C$2:$C$288,0.8),5,C286&gt;=_xlfn.PERCENTILE.INC($C$2:$C$288,0.6),4,C286&gt;=_xlfn.PERCENTILE.INC($C$2:$C$288,0.4),3,C286&gt;=_xlfn.PERCENTILE.INC($C$2:$C$288,0.2),2,TRUE,1)</f>
        <v>2</v>
      </c>
      <c r="G286" s="1" cm="1">
        <f t="array" ref="G286">_xlfn.IFS(D286&gt;=_xlfn.PERCENTILE.INC($D$2:$D$288,0.8),5,D286&gt;=_xlfn.PERCENTILE.INC($D$2:$D$288,0.6),4,D286&gt;=_xlfn.PERCENTILE.INC($D$2:$D$288,0.4),3,D286&gt;=_xlfn.PERCENTILE.INC($D$2:$D$288,0.2),2,TRUE,1)</f>
        <v>2</v>
      </c>
      <c r="H286" s="1">
        <f t="shared" si="4"/>
        <v>8</v>
      </c>
      <c r="I286" s="1" t="str" cm="1">
        <f t="array" ref="I286">_xlfn.IFS(H286&gt;=13,"Best Customers",H286&gt;=10,"Loyal Customers",H286&gt;=7,"Potential Loyal Customers",H286&gt;=4,"Need Attention",TRUE,"At Risk")</f>
        <v>Potential Loyal Customers</v>
      </c>
    </row>
    <row r="287" spans="1:9">
      <c r="A287" s="1" t="s">
        <v>185</v>
      </c>
      <c r="B287" s="9">
        <v>5.5908680556021899</v>
      </c>
      <c r="C287" s="1">
        <v>2</v>
      </c>
      <c r="D287" s="4">
        <v>36.299999999999997</v>
      </c>
      <c r="E287" s="1" cm="1">
        <f t="array" ref="E287">_xlfn.IFS(B287&lt;=_xlfn.PERCENTILE.INC($B$2:$B$288,0.2),5,B287&lt;=_xlfn.PERCENTILE.INC($B$2:$B$288,0.4),4,B287&lt;=_xlfn.PERCENTILE.INC($B$2:$B$288,0.6),3,B287&lt;=_xlfn.PERCENTILE.INC($B$2:$B$288,0.8),2,TRUE,1)</f>
        <v>5</v>
      </c>
      <c r="F287" s="1" cm="1">
        <f t="array" ref="F287">_xlfn.IFS(C287&gt;=_xlfn.PERCENTILE.INC($C$2:$C$288,0.8),5,C287&gt;=_xlfn.PERCENTILE.INC($C$2:$C$288,0.6),4,C287&gt;=_xlfn.PERCENTILE.INC($C$2:$C$288,0.4),3,C287&gt;=_xlfn.PERCENTILE.INC($C$2:$C$288,0.2),2,TRUE,1)</f>
        <v>2</v>
      </c>
      <c r="G287" s="1" cm="1">
        <f t="array" ref="G287">_xlfn.IFS(D287&gt;=_xlfn.PERCENTILE.INC($D$2:$D$288,0.8),5,D287&gt;=_xlfn.PERCENTILE.INC($D$2:$D$288,0.6),4,D287&gt;=_xlfn.PERCENTILE.INC($D$2:$D$288,0.4),3,D287&gt;=_xlfn.PERCENTILE.INC($D$2:$D$288,0.2),2,TRUE,1)</f>
        <v>2</v>
      </c>
      <c r="H287" s="1">
        <f t="shared" si="4"/>
        <v>9</v>
      </c>
      <c r="I287" s="1" t="str" cm="1">
        <f t="array" ref="I287">_xlfn.IFS(H287&gt;=13,"Best Customers",H287&gt;=10,"Loyal Customers",H287&gt;=7,"Potential Loyal Customers",H287&gt;=4,"Need Attention",TRUE,"At Risk")</f>
        <v>Potential Loyal Customers</v>
      </c>
    </row>
    <row r="288" spans="1:9">
      <c r="A288" s="1" t="s">
        <v>1000</v>
      </c>
      <c r="B288" s="9">
        <v>114.590868055602</v>
      </c>
      <c r="C288" s="1">
        <v>2</v>
      </c>
      <c r="D288" s="4">
        <v>48.06</v>
      </c>
      <c r="E288" s="1" cm="1">
        <f t="array" ref="E288">_xlfn.IFS(B288&lt;=_xlfn.PERCENTILE.INC($B$2:$B$288,0.2),5,B288&lt;=_xlfn.PERCENTILE.INC($B$2:$B$288,0.4),4,B288&lt;=_xlfn.PERCENTILE.INC($B$2:$B$288,0.6),3,B288&lt;=_xlfn.PERCENTILE.INC($B$2:$B$288,0.8),2,TRUE,1)</f>
        <v>2</v>
      </c>
      <c r="F288" s="1" cm="1">
        <f t="array" ref="F288">_xlfn.IFS(C288&gt;=_xlfn.PERCENTILE.INC($C$2:$C$288,0.8),5,C288&gt;=_xlfn.PERCENTILE.INC($C$2:$C$288,0.6),4,C288&gt;=_xlfn.PERCENTILE.INC($C$2:$C$288,0.4),3,C288&gt;=_xlfn.PERCENTILE.INC($C$2:$C$288,0.2),2,TRUE,1)</f>
        <v>2</v>
      </c>
      <c r="G288" s="1" cm="1">
        <f t="array" ref="G288">_xlfn.IFS(D288&gt;=_xlfn.PERCENTILE.INC($D$2:$D$288,0.8),5,D288&gt;=_xlfn.PERCENTILE.INC($D$2:$D$288,0.6),4,D288&gt;=_xlfn.PERCENTILE.INC($D$2:$D$288,0.4),3,D288&gt;=_xlfn.PERCENTILE.INC($D$2:$D$288,0.2),2,TRUE,1)</f>
        <v>3</v>
      </c>
      <c r="H288" s="1">
        <f t="shared" si="4"/>
        <v>7</v>
      </c>
      <c r="I288" s="1" t="str" cm="1">
        <f t="array" ref="I288">_xlfn.IFS(H288&gt;=13,"Best Customers",H288&gt;=10,"Loyal Customers",H288&gt;=7,"Potential Loyal Customers",H288&gt;=4,"Need Attention",TRUE,"At Risk")</f>
        <v>Potential Loyal Customers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0"/>
  <sheetViews>
    <sheetView zoomScale="120" zoomScaleNormal="120" workbookViewId="0">
      <pane xSplit="4" ySplit="8" topLeftCell="E195" activePane="bottomRight" state="frozen"/>
      <selection pane="topRight" activeCell="E1" sqref="E1"/>
      <selection pane="bottomLeft" activeCell="A9" sqref="A9"/>
      <selection pane="bottomRight" activeCell="J6" sqref="J6"/>
    </sheetView>
  </sheetViews>
  <sheetFormatPr defaultColWidth="8.7265625" defaultRowHeight="14"/>
  <cols>
    <col min="1" max="1" width="13.81640625" style="39"/>
    <col min="2" max="4" width="18.36328125" style="39"/>
    <col min="5" max="5" width="12.81640625" style="39" customWidth="1"/>
    <col min="6" max="6" width="12.81640625" style="39"/>
    <col min="7" max="7" width="10.26953125" style="39" customWidth="1"/>
    <col min="8" max="8" width="11.54296875" style="39"/>
    <col min="9" max="16384" width="8.7265625" style="1"/>
  </cols>
  <sheetData>
    <row r="1" spans="1:8">
      <c r="B1" s="46" t="s">
        <v>1299</v>
      </c>
      <c r="C1" s="46" t="s">
        <v>1300</v>
      </c>
      <c r="D1" s="46" t="s">
        <v>1301</v>
      </c>
    </row>
    <row r="2" spans="1:8">
      <c r="A2" s="39" t="s">
        <v>1</v>
      </c>
      <c r="B2" s="39" t="s">
        <v>1307</v>
      </c>
      <c r="C2" s="39" t="s">
        <v>1308</v>
      </c>
      <c r="D2" s="39" t="s">
        <v>1309</v>
      </c>
      <c r="E2" s="38" t="s">
        <v>1298</v>
      </c>
      <c r="F2" s="38" t="s">
        <v>1299</v>
      </c>
      <c r="G2" s="38" t="s">
        <v>1300</v>
      </c>
      <c r="H2" s="38" t="s">
        <v>1301</v>
      </c>
    </row>
    <row r="3" spans="1:8">
      <c r="A3" s="39" t="s">
        <v>56</v>
      </c>
      <c r="B3" s="45">
        <v>46270.409131944398</v>
      </c>
      <c r="C3" s="39">
        <v>5</v>
      </c>
      <c r="D3" s="41">
        <v>64.5</v>
      </c>
      <c r="E3" s="39" t="str">
        <f>A3</f>
        <v>CUST0001</v>
      </c>
      <c r="F3" s="40">
        <f ca="1">TODAY()-B3</f>
        <v>30.590868055602186</v>
      </c>
      <c r="G3" s="39">
        <f>C3</f>
        <v>5</v>
      </c>
      <c r="H3" s="41">
        <f>D3</f>
        <v>64.5</v>
      </c>
    </row>
    <row r="4" spans="1:8">
      <c r="A4" s="39" t="s">
        <v>400</v>
      </c>
      <c r="B4" s="45">
        <v>46300.409131944398</v>
      </c>
      <c r="C4" s="39">
        <v>4</v>
      </c>
      <c r="D4" s="41">
        <v>53.9</v>
      </c>
      <c r="E4" s="39" t="str">
        <f t="shared" ref="E4:E67" si="0">A4</f>
        <v>CUST0002</v>
      </c>
      <c r="F4" s="40">
        <f t="shared" ref="F4:F67" ca="1" si="1">TODAY()-B4</f>
        <v>0.59086805560218636</v>
      </c>
      <c r="G4" s="39">
        <f t="shared" ref="G4:G67" si="2">C4</f>
        <v>4</v>
      </c>
      <c r="H4" s="41">
        <f t="shared" ref="H4:H67" si="3">D4</f>
        <v>53.9</v>
      </c>
    </row>
    <row r="5" spans="1:8">
      <c r="A5" s="39" t="s">
        <v>655</v>
      </c>
      <c r="B5" s="45">
        <v>46162.409131944398</v>
      </c>
      <c r="C5" s="39">
        <v>4</v>
      </c>
      <c r="D5" s="41">
        <v>75.75</v>
      </c>
      <c r="E5" s="39" t="str">
        <f t="shared" si="0"/>
        <v>CUST0003</v>
      </c>
      <c r="F5" s="40">
        <f t="shared" ca="1" si="1"/>
        <v>138.59086805560219</v>
      </c>
      <c r="G5" s="39">
        <f t="shared" si="2"/>
        <v>4</v>
      </c>
      <c r="H5" s="41">
        <f t="shared" si="3"/>
        <v>75.75</v>
      </c>
    </row>
    <row r="6" spans="1:8">
      <c r="A6" s="39" t="s">
        <v>454</v>
      </c>
      <c r="B6" s="45">
        <v>46250.409131944398</v>
      </c>
      <c r="C6" s="39">
        <v>4</v>
      </c>
      <c r="D6" s="41">
        <v>123.07</v>
      </c>
      <c r="E6" s="39" t="str">
        <f t="shared" si="0"/>
        <v>CUST0004</v>
      </c>
      <c r="F6" s="40">
        <f t="shared" ca="1" si="1"/>
        <v>50.590868055602186</v>
      </c>
      <c r="G6" s="39">
        <f t="shared" si="2"/>
        <v>4</v>
      </c>
      <c r="H6" s="41">
        <f t="shared" si="3"/>
        <v>123.07</v>
      </c>
    </row>
    <row r="7" spans="1:8">
      <c r="A7" s="39" t="s">
        <v>76</v>
      </c>
      <c r="B7" s="45">
        <v>46286.409131944398</v>
      </c>
      <c r="C7" s="39">
        <v>4</v>
      </c>
      <c r="D7" s="41">
        <v>63.34</v>
      </c>
      <c r="E7" s="39" t="str">
        <f t="shared" si="0"/>
        <v>CUST0005</v>
      </c>
      <c r="F7" s="40">
        <f t="shared" ca="1" si="1"/>
        <v>14.590868055602186</v>
      </c>
      <c r="G7" s="39">
        <f t="shared" si="2"/>
        <v>4</v>
      </c>
      <c r="H7" s="41">
        <f t="shared" si="3"/>
        <v>63.34</v>
      </c>
    </row>
    <row r="8" spans="1:8">
      <c r="A8" s="39" t="s">
        <v>380</v>
      </c>
      <c r="B8" s="45">
        <v>46158.409131944398</v>
      </c>
      <c r="C8" s="39">
        <v>5</v>
      </c>
      <c r="D8" s="41">
        <v>104.63</v>
      </c>
      <c r="E8" s="39" t="str">
        <f t="shared" si="0"/>
        <v>CUST0007</v>
      </c>
      <c r="F8" s="40">
        <f t="shared" ca="1" si="1"/>
        <v>142.59086805560219</v>
      </c>
      <c r="G8" s="39">
        <f t="shared" si="2"/>
        <v>5</v>
      </c>
      <c r="H8" s="41">
        <f t="shared" si="3"/>
        <v>104.63</v>
      </c>
    </row>
    <row r="9" spans="1:8">
      <c r="A9" s="39" t="s">
        <v>349</v>
      </c>
      <c r="B9" s="45">
        <v>46256.409131944398</v>
      </c>
      <c r="C9" s="39">
        <v>4</v>
      </c>
      <c r="D9" s="41">
        <v>106.62</v>
      </c>
      <c r="E9" s="39" t="str">
        <f t="shared" si="0"/>
        <v>CUST0008</v>
      </c>
      <c r="F9" s="40">
        <f t="shared" ca="1" si="1"/>
        <v>44.590868055602186</v>
      </c>
      <c r="G9" s="39">
        <f t="shared" si="2"/>
        <v>4</v>
      </c>
      <c r="H9" s="41">
        <f t="shared" si="3"/>
        <v>106.62</v>
      </c>
    </row>
    <row r="10" spans="1:8">
      <c r="A10" s="39" t="s">
        <v>439</v>
      </c>
      <c r="B10" s="45">
        <v>46281.409131944398</v>
      </c>
      <c r="C10" s="39">
        <v>6</v>
      </c>
      <c r="D10" s="41">
        <v>139.02000000000001</v>
      </c>
      <c r="E10" s="39" t="str">
        <f t="shared" si="0"/>
        <v>CUST0009</v>
      </c>
      <c r="F10" s="40">
        <f t="shared" ca="1" si="1"/>
        <v>19.590868055602186</v>
      </c>
      <c r="G10" s="39">
        <f t="shared" si="2"/>
        <v>6</v>
      </c>
      <c r="H10" s="41">
        <f t="shared" si="3"/>
        <v>139.02000000000001</v>
      </c>
    </row>
    <row r="11" spans="1:8">
      <c r="A11" s="39" t="s">
        <v>15</v>
      </c>
      <c r="B11" s="45">
        <v>46276.409131944398</v>
      </c>
      <c r="C11" s="39">
        <v>4</v>
      </c>
      <c r="D11" s="41">
        <v>35.17</v>
      </c>
      <c r="E11" s="39" t="str">
        <f t="shared" si="0"/>
        <v>CUST0010</v>
      </c>
      <c r="F11" s="40">
        <f t="shared" ca="1" si="1"/>
        <v>24.590868055602186</v>
      </c>
      <c r="G11" s="39">
        <f t="shared" si="2"/>
        <v>4</v>
      </c>
      <c r="H11" s="41">
        <f t="shared" si="3"/>
        <v>35.17</v>
      </c>
    </row>
    <row r="12" spans="1:8">
      <c r="A12" s="39" t="s">
        <v>192</v>
      </c>
      <c r="B12" s="45">
        <v>46283.409131944398</v>
      </c>
      <c r="C12" s="39">
        <v>6</v>
      </c>
      <c r="D12" s="41">
        <v>128.11000000000001</v>
      </c>
      <c r="E12" s="39" t="str">
        <f t="shared" si="0"/>
        <v>CUST0011</v>
      </c>
      <c r="F12" s="40">
        <f t="shared" ca="1" si="1"/>
        <v>17.590868055602186</v>
      </c>
      <c r="G12" s="39">
        <f t="shared" si="2"/>
        <v>6</v>
      </c>
      <c r="H12" s="41">
        <f t="shared" si="3"/>
        <v>128.11000000000001</v>
      </c>
    </row>
    <row r="13" spans="1:8">
      <c r="A13" s="39" t="s">
        <v>560</v>
      </c>
      <c r="B13" s="45">
        <v>46258.409131944398</v>
      </c>
      <c r="C13" s="39">
        <v>9</v>
      </c>
      <c r="D13" s="41">
        <v>187.09</v>
      </c>
      <c r="E13" s="39" t="str">
        <f t="shared" si="0"/>
        <v>CUST0012</v>
      </c>
      <c r="F13" s="40">
        <f t="shared" ca="1" si="1"/>
        <v>42.590868055602186</v>
      </c>
      <c r="G13" s="39">
        <f t="shared" si="2"/>
        <v>9</v>
      </c>
      <c r="H13" s="41">
        <f t="shared" si="3"/>
        <v>187.09</v>
      </c>
    </row>
    <row r="14" spans="1:8">
      <c r="A14" s="39" t="s">
        <v>24</v>
      </c>
      <c r="B14" s="45">
        <v>46292.409131944398</v>
      </c>
      <c r="C14" s="39">
        <v>2</v>
      </c>
      <c r="D14" s="41">
        <v>30.9</v>
      </c>
      <c r="E14" s="39" t="str">
        <f t="shared" si="0"/>
        <v>CUST0013</v>
      </c>
      <c r="F14" s="40">
        <f t="shared" ca="1" si="1"/>
        <v>8.5908680556021864</v>
      </c>
      <c r="G14" s="39">
        <f t="shared" si="2"/>
        <v>2</v>
      </c>
      <c r="H14" s="41">
        <f t="shared" si="3"/>
        <v>30.9</v>
      </c>
    </row>
    <row r="15" spans="1:8">
      <c r="A15" s="39" t="s">
        <v>96</v>
      </c>
      <c r="B15" s="45">
        <v>46233.409131944398</v>
      </c>
      <c r="C15" s="39">
        <v>6</v>
      </c>
      <c r="D15" s="41">
        <v>132.01</v>
      </c>
      <c r="E15" s="39" t="str">
        <f t="shared" si="0"/>
        <v>CUST0014</v>
      </c>
      <c r="F15" s="40">
        <f t="shared" ca="1" si="1"/>
        <v>67.590868055602186</v>
      </c>
      <c r="G15" s="39">
        <f t="shared" si="2"/>
        <v>6</v>
      </c>
      <c r="H15" s="41">
        <f t="shared" si="3"/>
        <v>132.01</v>
      </c>
    </row>
    <row r="16" spans="1:8">
      <c r="A16" s="39" t="s">
        <v>128</v>
      </c>
      <c r="B16" s="45">
        <v>46187.409131944398</v>
      </c>
      <c r="C16" s="39">
        <v>5</v>
      </c>
      <c r="D16" s="41">
        <v>58.19</v>
      </c>
      <c r="E16" s="39" t="str">
        <f t="shared" si="0"/>
        <v>CUST0015</v>
      </c>
      <c r="F16" s="40">
        <f t="shared" ca="1" si="1"/>
        <v>113.59086805560219</v>
      </c>
      <c r="G16" s="39">
        <f t="shared" si="2"/>
        <v>5</v>
      </c>
      <c r="H16" s="41">
        <f t="shared" si="3"/>
        <v>58.19</v>
      </c>
    </row>
    <row r="17" spans="1:8">
      <c r="A17" s="39" t="s">
        <v>590</v>
      </c>
      <c r="B17" s="45">
        <v>46125.409131944398</v>
      </c>
      <c r="C17" s="39">
        <v>2</v>
      </c>
      <c r="D17" s="41">
        <v>39.26</v>
      </c>
      <c r="E17" s="39" t="str">
        <f t="shared" si="0"/>
        <v>CUST0016</v>
      </c>
      <c r="F17" s="40">
        <f t="shared" ca="1" si="1"/>
        <v>175.59086805560219</v>
      </c>
      <c r="G17" s="39">
        <f t="shared" si="2"/>
        <v>2</v>
      </c>
      <c r="H17" s="41">
        <f t="shared" si="3"/>
        <v>39.26</v>
      </c>
    </row>
    <row r="18" spans="1:8">
      <c r="A18" s="39" t="s">
        <v>264</v>
      </c>
      <c r="B18" s="45">
        <v>46208.409131944398</v>
      </c>
      <c r="C18" s="39">
        <v>6</v>
      </c>
      <c r="D18" s="41">
        <v>90.01</v>
      </c>
      <c r="E18" s="39" t="str">
        <f t="shared" si="0"/>
        <v>CUST0017</v>
      </c>
      <c r="F18" s="40">
        <f t="shared" ca="1" si="1"/>
        <v>92.590868055602186</v>
      </c>
      <c r="G18" s="39">
        <f t="shared" si="2"/>
        <v>6</v>
      </c>
      <c r="H18" s="41">
        <f t="shared" si="3"/>
        <v>90.01</v>
      </c>
    </row>
    <row r="19" spans="1:8">
      <c r="A19" s="39" t="s">
        <v>317</v>
      </c>
      <c r="B19" s="45">
        <v>46168.409131944398</v>
      </c>
      <c r="C19" s="39">
        <v>2</v>
      </c>
      <c r="D19" s="41">
        <v>68.16</v>
      </c>
      <c r="E19" s="39" t="str">
        <f t="shared" si="0"/>
        <v>CUST0018</v>
      </c>
      <c r="F19" s="40">
        <f t="shared" ca="1" si="1"/>
        <v>132.59086805560219</v>
      </c>
      <c r="G19" s="39">
        <f t="shared" si="2"/>
        <v>2</v>
      </c>
      <c r="H19" s="41">
        <f t="shared" si="3"/>
        <v>68.16</v>
      </c>
    </row>
    <row r="20" spans="1:8">
      <c r="A20" s="39" t="s">
        <v>315</v>
      </c>
      <c r="B20" s="45">
        <v>46235.409131944398</v>
      </c>
      <c r="C20" s="39">
        <v>3</v>
      </c>
      <c r="D20" s="41">
        <v>50.73</v>
      </c>
      <c r="E20" s="39" t="str">
        <f t="shared" si="0"/>
        <v>CUST0019</v>
      </c>
      <c r="F20" s="40">
        <f t="shared" ca="1" si="1"/>
        <v>65.590868055602186</v>
      </c>
      <c r="G20" s="39">
        <f t="shared" si="2"/>
        <v>3</v>
      </c>
      <c r="H20" s="41">
        <f t="shared" si="3"/>
        <v>50.73</v>
      </c>
    </row>
    <row r="21" spans="1:8">
      <c r="A21" s="39" t="s">
        <v>411</v>
      </c>
      <c r="B21" s="45">
        <v>46208.409131944398</v>
      </c>
      <c r="C21" s="39">
        <v>4</v>
      </c>
      <c r="D21" s="41">
        <v>52.31</v>
      </c>
      <c r="E21" s="39" t="str">
        <f t="shared" si="0"/>
        <v>CUST0020</v>
      </c>
      <c r="F21" s="40">
        <f t="shared" ca="1" si="1"/>
        <v>92.590868055602186</v>
      </c>
      <c r="G21" s="39">
        <f t="shared" si="2"/>
        <v>4</v>
      </c>
      <c r="H21" s="41">
        <f t="shared" si="3"/>
        <v>52.31</v>
      </c>
    </row>
    <row r="22" spans="1:8">
      <c r="A22" s="39" t="s">
        <v>870</v>
      </c>
      <c r="B22" s="45">
        <v>46174.409131944398</v>
      </c>
      <c r="C22" s="39">
        <v>3</v>
      </c>
      <c r="D22" s="41">
        <v>57.05</v>
      </c>
      <c r="E22" s="39" t="str">
        <f t="shared" si="0"/>
        <v>CUST0021</v>
      </c>
      <c r="F22" s="40">
        <f t="shared" ca="1" si="1"/>
        <v>126.59086805560219</v>
      </c>
      <c r="G22" s="39">
        <f t="shared" si="2"/>
        <v>3</v>
      </c>
      <c r="H22" s="41">
        <f t="shared" si="3"/>
        <v>57.05</v>
      </c>
    </row>
    <row r="23" spans="1:8">
      <c r="A23" s="39" t="s">
        <v>828</v>
      </c>
      <c r="B23" s="45">
        <v>46292.409131944398</v>
      </c>
      <c r="C23" s="39">
        <v>3</v>
      </c>
      <c r="D23" s="41">
        <v>50.93</v>
      </c>
      <c r="E23" s="39" t="str">
        <f t="shared" si="0"/>
        <v>CUST0022</v>
      </c>
      <c r="F23" s="40">
        <f t="shared" ca="1" si="1"/>
        <v>8.5908680556021864</v>
      </c>
      <c r="G23" s="39">
        <f t="shared" si="2"/>
        <v>3</v>
      </c>
      <c r="H23" s="41">
        <f t="shared" si="3"/>
        <v>50.93</v>
      </c>
    </row>
    <row r="24" spans="1:8">
      <c r="A24" s="39" t="s">
        <v>104</v>
      </c>
      <c r="B24" s="45">
        <v>46209.409131944398</v>
      </c>
      <c r="C24" s="39">
        <v>3</v>
      </c>
      <c r="D24" s="41">
        <v>62.49</v>
      </c>
      <c r="E24" s="39" t="str">
        <f t="shared" si="0"/>
        <v>CUST0023</v>
      </c>
      <c r="F24" s="40">
        <f t="shared" ca="1" si="1"/>
        <v>91.590868055602186</v>
      </c>
      <c r="G24" s="39">
        <f t="shared" si="2"/>
        <v>3</v>
      </c>
      <c r="H24" s="41">
        <f t="shared" si="3"/>
        <v>62.49</v>
      </c>
    </row>
    <row r="25" spans="1:8">
      <c r="A25" s="39" t="s">
        <v>902</v>
      </c>
      <c r="B25" s="45">
        <v>46227.409131944398</v>
      </c>
      <c r="C25" s="39">
        <v>2</v>
      </c>
      <c r="D25" s="41">
        <v>16.66</v>
      </c>
      <c r="E25" s="39" t="str">
        <f t="shared" si="0"/>
        <v>CUST0024</v>
      </c>
      <c r="F25" s="40">
        <f t="shared" ca="1" si="1"/>
        <v>73.590868055602186</v>
      </c>
      <c r="G25" s="39">
        <f t="shared" si="2"/>
        <v>2</v>
      </c>
      <c r="H25" s="41">
        <f t="shared" si="3"/>
        <v>16.66</v>
      </c>
    </row>
    <row r="26" spans="1:8">
      <c r="A26" s="39" t="s">
        <v>256</v>
      </c>
      <c r="B26" s="45">
        <v>46260.409131944398</v>
      </c>
      <c r="C26" s="39">
        <v>6</v>
      </c>
      <c r="D26" s="41">
        <v>109.94</v>
      </c>
      <c r="E26" s="39" t="str">
        <f t="shared" si="0"/>
        <v>CUST0025</v>
      </c>
      <c r="F26" s="40">
        <f t="shared" ca="1" si="1"/>
        <v>40.590868055602186</v>
      </c>
      <c r="G26" s="39">
        <f t="shared" si="2"/>
        <v>6</v>
      </c>
      <c r="H26" s="41">
        <f t="shared" si="3"/>
        <v>109.94</v>
      </c>
    </row>
    <row r="27" spans="1:8">
      <c r="A27" s="39" t="s">
        <v>585</v>
      </c>
      <c r="B27" s="45">
        <v>46158.409131944398</v>
      </c>
      <c r="C27" s="39">
        <v>4</v>
      </c>
      <c r="D27" s="41">
        <v>95.76</v>
      </c>
      <c r="E27" s="39" t="str">
        <f t="shared" si="0"/>
        <v>CUST0026</v>
      </c>
      <c r="F27" s="40">
        <f t="shared" ca="1" si="1"/>
        <v>142.59086805560219</v>
      </c>
      <c r="G27" s="39">
        <f t="shared" si="2"/>
        <v>4</v>
      </c>
      <c r="H27" s="41">
        <f t="shared" si="3"/>
        <v>95.76</v>
      </c>
    </row>
    <row r="28" spans="1:8">
      <c r="A28" s="39" t="s">
        <v>479</v>
      </c>
      <c r="B28" s="45">
        <v>46171.409131944398</v>
      </c>
      <c r="C28" s="39">
        <v>5</v>
      </c>
      <c r="D28" s="41">
        <v>70.66</v>
      </c>
      <c r="E28" s="39" t="str">
        <f t="shared" si="0"/>
        <v>CUST0027</v>
      </c>
      <c r="F28" s="40">
        <f t="shared" ca="1" si="1"/>
        <v>129.59086805560219</v>
      </c>
      <c r="G28" s="39">
        <f t="shared" si="2"/>
        <v>5</v>
      </c>
      <c r="H28" s="41">
        <f t="shared" si="3"/>
        <v>70.66</v>
      </c>
    </row>
    <row r="29" spans="1:8">
      <c r="A29" s="39" t="s">
        <v>1065</v>
      </c>
      <c r="B29" s="45">
        <v>46186.409131944398</v>
      </c>
      <c r="C29" s="39">
        <v>1</v>
      </c>
      <c r="D29" s="41">
        <v>4.8600000000000003</v>
      </c>
      <c r="E29" s="39" t="str">
        <f t="shared" si="0"/>
        <v>CUST0028</v>
      </c>
      <c r="F29" s="40">
        <f t="shared" ca="1" si="1"/>
        <v>114.59086805560219</v>
      </c>
      <c r="G29" s="39">
        <f t="shared" si="2"/>
        <v>1</v>
      </c>
      <c r="H29" s="41">
        <f t="shared" si="3"/>
        <v>4.8600000000000003</v>
      </c>
    </row>
    <row r="30" spans="1:8">
      <c r="A30" s="39" t="s">
        <v>225</v>
      </c>
      <c r="B30" s="45">
        <v>46239.409131944398</v>
      </c>
      <c r="C30" s="39">
        <v>6</v>
      </c>
      <c r="D30" s="41">
        <v>130.91999999999999</v>
      </c>
      <c r="E30" s="39" t="str">
        <f t="shared" si="0"/>
        <v>CUST0029</v>
      </c>
      <c r="F30" s="40">
        <f t="shared" ca="1" si="1"/>
        <v>61.590868055602186</v>
      </c>
      <c r="G30" s="39">
        <f t="shared" si="2"/>
        <v>6</v>
      </c>
      <c r="H30" s="41">
        <f t="shared" si="3"/>
        <v>130.91999999999999</v>
      </c>
    </row>
    <row r="31" spans="1:8">
      <c r="A31" s="39" t="s">
        <v>784</v>
      </c>
      <c r="B31" s="45">
        <v>46028.409131944398</v>
      </c>
      <c r="C31" s="39">
        <v>1</v>
      </c>
      <c r="D31" s="41">
        <v>9.42</v>
      </c>
      <c r="E31" s="39" t="str">
        <f t="shared" si="0"/>
        <v>CUST0031</v>
      </c>
      <c r="F31" s="40">
        <f t="shared" ca="1" si="1"/>
        <v>272.59086805560219</v>
      </c>
      <c r="G31" s="39">
        <f t="shared" si="2"/>
        <v>1</v>
      </c>
      <c r="H31" s="41">
        <f t="shared" si="3"/>
        <v>9.42</v>
      </c>
    </row>
    <row r="32" spans="1:8">
      <c r="A32" s="39" t="s">
        <v>307</v>
      </c>
      <c r="B32" s="45">
        <v>46166.409131944398</v>
      </c>
      <c r="C32" s="39">
        <v>2</v>
      </c>
      <c r="D32" s="41">
        <v>26.84</v>
      </c>
      <c r="E32" s="39" t="str">
        <f t="shared" si="0"/>
        <v>CUST0032</v>
      </c>
      <c r="F32" s="40">
        <f t="shared" ca="1" si="1"/>
        <v>134.59086805560219</v>
      </c>
      <c r="G32" s="39">
        <f t="shared" si="2"/>
        <v>2</v>
      </c>
      <c r="H32" s="41">
        <f t="shared" si="3"/>
        <v>26.84</v>
      </c>
    </row>
    <row r="33" spans="1:8">
      <c r="A33" s="39" t="s">
        <v>843</v>
      </c>
      <c r="B33" s="45">
        <v>46274.409131944398</v>
      </c>
      <c r="C33" s="39">
        <v>1</v>
      </c>
      <c r="D33" s="41">
        <v>5.71</v>
      </c>
      <c r="E33" s="39" t="str">
        <f t="shared" si="0"/>
        <v>CUST0033</v>
      </c>
      <c r="F33" s="40">
        <f t="shared" ca="1" si="1"/>
        <v>26.590868055602186</v>
      </c>
      <c r="G33" s="39">
        <f t="shared" si="2"/>
        <v>1</v>
      </c>
      <c r="H33" s="41">
        <f t="shared" si="3"/>
        <v>5.71</v>
      </c>
    </row>
    <row r="34" spans="1:8">
      <c r="A34" s="39" t="s">
        <v>471</v>
      </c>
      <c r="B34" s="45">
        <v>46087.409131944398</v>
      </c>
      <c r="C34" s="39">
        <v>2</v>
      </c>
      <c r="D34" s="41">
        <v>15.89</v>
      </c>
      <c r="E34" s="39" t="str">
        <f t="shared" si="0"/>
        <v>CUST0034</v>
      </c>
      <c r="F34" s="40">
        <f t="shared" ca="1" si="1"/>
        <v>213.59086805560219</v>
      </c>
      <c r="G34" s="39">
        <f t="shared" si="2"/>
        <v>2</v>
      </c>
      <c r="H34" s="41">
        <f t="shared" si="3"/>
        <v>15.89</v>
      </c>
    </row>
    <row r="35" spans="1:8">
      <c r="A35" s="39" t="s">
        <v>54</v>
      </c>
      <c r="B35" s="45">
        <v>46127.409131944398</v>
      </c>
      <c r="C35" s="39">
        <v>3</v>
      </c>
      <c r="D35" s="41">
        <v>58.38</v>
      </c>
      <c r="E35" s="39" t="str">
        <f t="shared" si="0"/>
        <v>CUST0035</v>
      </c>
      <c r="F35" s="40">
        <f t="shared" ca="1" si="1"/>
        <v>173.59086805560219</v>
      </c>
      <c r="G35" s="39">
        <f t="shared" si="2"/>
        <v>3</v>
      </c>
      <c r="H35" s="41">
        <f t="shared" si="3"/>
        <v>58.38</v>
      </c>
    </row>
    <row r="36" spans="1:8">
      <c r="A36" s="39" t="s">
        <v>393</v>
      </c>
      <c r="B36" s="45">
        <v>46285.409131944398</v>
      </c>
      <c r="C36" s="39">
        <v>3</v>
      </c>
      <c r="D36" s="41">
        <v>72.06</v>
      </c>
      <c r="E36" s="39" t="str">
        <f t="shared" si="0"/>
        <v>CUST0036</v>
      </c>
      <c r="F36" s="40">
        <f t="shared" ca="1" si="1"/>
        <v>15.590868055602186</v>
      </c>
      <c r="G36" s="39">
        <f t="shared" si="2"/>
        <v>3</v>
      </c>
      <c r="H36" s="41">
        <f t="shared" si="3"/>
        <v>72.06</v>
      </c>
    </row>
    <row r="37" spans="1:8">
      <c r="A37" s="39" t="s">
        <v>742</v>
      </c>
      <c r="B37" s="45">
        <v>46224.409131944398</v>
      </c>
      <c r="C37" s="39">
        <v>3</v>
      </c>
      <c r="D37" s="41">
        <v>40.36</v>
      </c>
      <c r="E37" s="39" t="str">
        <f t="shared" si="0"/>
        <v>CUST0037</v>
      </c>
      <c r="F37" s="40">
        <f t="shared" ca="1" si="1"/>
        <v>76.590868055602186</v>
      </c>
      <c r="G37" s="39">
        <f t="shared" si="2"/>
        <v>3</v>
      </c>
      <c r="H37" s="41">
        <f t="shared" si="3"/>
        <v>40.36</v>
      </c>
    </row>
    <row r="38" spans="1:8">
      <c r="A38" s="39" t="s">
        <v>39</v>
      </c>
      <c r="B38" s="45">
        <v>46245.409131944398</v>
      </c>
      <c r="C38" s="39">
        <v>4</v>
      </c>
      <c r="D38" s="41">
        <v>44.35</v>
      </c>
      <c r="E38" s="39" t="str">
        <f t="shared" si="0"/>
        <v>CUST0038</v>
      </c>
      <c r="F38" s="40">
        <f t="shared" ca="1" si="1"/>
        <v>55.590868055602186</v>
      </c>
      <c r="G38" s="39">
        <f t="shared" si="2"/>
        <v>4</v>
      </c>
      <c r="H38" s="41">
        <f t="shared" si="3"/>
        <v>44.35</v>
      </c>
    </row>
    <row r="39" spans="1:8">
      <c r="A39" s="39" t="s">
        <v>118</v>
      </c>
      <c r="B39" s="45">
        <v>46277.409131944398</v>
      </c>
      <c r="C39" s="39">
        <v>8</v>
      </c>
      <c r="D39" s="41">
        <v>167.44</v>
      </c>
      <c r="E39" s="39" t="str">
        <f t="shared" si="0"/>
        <v>CUST0039</v>
      </c>
      <c r="F39" s="40">
        <f t="shared" ca="1" si="1"/>
        <v>23.590868055602186</v>
      </c>
      <c r="G39" s="39">
        <f t="shared" si="2"/>
        <v>8</v>
      </c>
      <c r="H39" s="41">
        <f t="shared" si="3"/>
        <v>167.44</v>
      </c>
    </row>
    <row r="40" spans="1:8">
      <c r="A40" s="39" t="s">
        <v>441</v>
      </c>
      <c r="B40" s="45">
        <v>46271.409131944398</v>
      </c>
      <c r="C40" s="39">
        <v>6</v>
      </c>
      <c r="D40" s="41">
        <v>101.46</v>
      </c>
      <c r="E40" s="39" t="str">
        <f t="shared" si="0"/>
        <v>CUST0040</v>
      </c>
      <c r="F40" s="40">
        <f t="shared" ca="1" si="1"/>
        <v>29.590868055602186</v>
      </c>
      <c r="G40" s="39">
        <f t="shared" si="2"/>
        <v>6</v>
      </c>
      <c r="H40" s="41">
        <f t="shared" si="3"/>
        <v>101.46</v>
      </c>
    </row>
    <row r="41" spans="1:8">
      <c r="A41" s="39" t="s">
        <v>469</v>
      </c>
      <c r="B41" s="45">
        <v>46108.409131944398</v>
      </c>
      <c r="C41" s="39">
        <v>4</v>
      </c>
      <c r="D41" s="41">
        <v>63.98</v>
      </c>
      <c r="E41" s="39" t="str">
        <f t="shared" si="0"/>
        <v>CUST0041</v>
      </c>
      <c r="F41" s="40">
        <f t="shared" ca="1" si="1"/>
        <v>192.59086805560219</v>
      </c>
      <c r="G41" s="39">
        <f t="shared" si="2"/>
        <v>4</v>
      </c>
      <c r="H41" s="41">
        <f t="shared" si="3"/>
        <v>63.98</v>
      </c>
    </row>
    <row r="42" spans="1:8">
      <c r="A42" s="39" t="s">
        <v>88</v>
      </c>
      <c r="B42" s="45">
        <v>46143.409131944398</v>
      </c>
      <c r="C42" s="39">
        <v>4</v>
      </c>
      <c r="D42" s="41">
        <v>106.78</v>
      </c>
      <c r="E42" s="39" t="str">
        <f t="shared" si="0"/>
        <v>CUST0042</v>
      </c>
      <c r="F42" s="40">
        <f t="shared" ca="1" si="1"/>
        <v>157.59086805560219</v>
      </c>
      <c r="G42" s="39">
        <f t="shared" si="2"/>
        <v>4</v>
      </c>
      <c r="H42" s="41">
        <f t="shared" si="3"/>
        <v>106.78</v>
      </c>
    </row>
    <row r="43" spans="1:8">
      <c r="A43" s="39" t="s">
        <v>1210</v>
      </c>
      <c r="B43" s="45">
        <v>46080.409131944398</v>
      </c>
      <c r="C43" s="39">
        <v>1</v>
      </c>
      <c r="D43" s="41">
        <v>12.17</v>
      </c>
      <c r="E43" s="39" t="str">
        <f t="shared" si="0"/>
        <v>CUST0043</v>
      </c>
      <c r="F43" s="40">
        <f t="shared" ca="1" si="1"/>
        <v>220.59086805560219</v>
      </c>
      <c r="G43" s="39">
        <f t="shared" si="2"/>
        <v>1</v>
      </c>
      <c r="H43" s="41">
        <f t="shared" si="3"/>
        <v>12.17</v>
      </c>
    </row>
    <row r="44" spans="1:8">
      <c r="A44" s="39" t="s">
        <v>565</v>
      </c>
      <c r="B44" s="45">
        <v>46188.409131944398</v>
      </c>
      <c r="C44" s="39">
        <v>2</v>
      </c>
      <c r="D44" s="41">
        <v>10.38</v>
      </c>
      <c r="E44" s="39" t="str">
        <f t="shared" si="0"/>
        <v>CUST0044</v>
      </c>
      <c r="F44" s="40">
        <f t="shared" ca="1" si="1"/>
        <v>112.59086805560219</v>
      </c>
      <c r="G44" s="39">
        <f t="shared" si="2"/>
        <v>2</v>
      </c>
      <c r="H44" s="41">
        <f t="shared" si="3"/>
        <v>10.38</v>
      </c>
    </row>
    <row r="45" spans="1:8">
      <c r="A45" s="39" t="s">
        <v>770</v>
      </c>
      <c r="B45" s="45">
        <v>46220.409131944398</v>
      </c>
      <c r="C45" s="39">
        <v>2</v>
      </c>
      <c r="D45" s="41">
        <v>23.24</v>
      </c>
      <c r="E45" s="39" t="str">
        <f t="shared" si="0"/>
        <v>CUST0045</v>
      </c>
      <c r="F45" s="40">
        <f t="shared" ca="1" si="1"/>
        <v>80.590868055602186</v>
      </c>
      <c r="G45" s="39">
        <f t="shared" si="2"/>
        <v>2</v>
      </c>
      <c r="H45" s="41">
        <f t="shared" si="3"/>
        <v>23.24</v>
      </c>
    </row>
    <row r="46" spans="1:8">
      <c r="A46" s="39" t="s">
        <v>495</v>
      </c>
      <c r="B46" s="45">
        <v>46127.409131944398</v>
      </c>
      <c r="C46" s="39">
        <v>4</v>
      </c>
      <c r="D46" s="41">
        <v>65.58</v>
      </c>
      <c r="E46" s="39" t="str">
        <f t="shared" si="0"/>
        <v>CUST0046</v>
      </c>
      <c r="F46" s="40">
        <f t="shared" ca="1" si="1"/>
        <v>173.59086805560219</v>
      </c>
      <c r="G46" s="39">
        <f t="shared" si="2"/>
        <v>4</v>
      </c>
      <c r="H46" s="41">
        <f t="shared" si="3"/>
        <v>65.58</v>
      </c>
    </row>
    <row r="47" spans="1:8">
      <c r="A47" s="39" t="s">
        <v>171</v>
      </c>
      <c r="B47" s="45">
        <v>46182.409131944398</v>
      </c>
      <c r="C47" s="39">
        <v>4</v>
      </c>
      <c r="D47" s="41">
        <v>90.01</v>
      </c>
      <c r="E47" s="39" t="str">
        <f t="shared" si="0"/>
        <v>CUST0047</v>
      </c>
      <c r="F47" s="40">
        <f t="shared" ca="1" si="1"/>
        <v>118.59086805560219</v>
      </c>
      <c r="G47" s="39">
        <f t="shared" si="2"/>
        <v>4</v>
      </c>
      <c r="H47" s="41">
        <f t="shared" si="3"/>
        <v>90.01</v>
      </c>
    </row>
    <row r="48" spans="1:8">
      <c r="A48" s="39" t="s">
        <v>289</v>
      </c>
      <c r="B48" s="45">
        <v>46105.409131944398</v>
      </c>
      <c r="C48" s="39">
        <v>4</v>
      </c>
      <c r="D48" s="41">
        <v>32.14</v>
      </c>
      <c r="E48" s="39" t="str">
        <f t="shared" si="0"/>
        <v>CUST0049</v>
      </c>
      <c r="F48" s="40">
        <f t="shared" ca="1" si="1"/>
        <v>195.59086805560219</v>
      </c>
      <c r="G48" s="39">
        <f t="shared" si="2"/>
        <v>4</v>
      </c>
      <c r="H48" s="41">
        <f t="shared" si="3"/>
        <v>32.14</v>
      </c>
    </row>
    <row r="49" spans="1:8">
      <c r="A49" s="39" t="s">
        <v>898</v>
      </c>
      <c r="B49" s="45">
        <v>46152.409131944398</v>
      </c>
      <c r="C49" s="39">
        <v>3</v>
      </c>
      <c r="D49" s="41">
        <v>32.49</v>
      </c>
      <c r="E49" s="39" t="str">
        <f t="shared" si="0"/>
        <v>CUST0050</v>
      </c>
      <c r="F49" s="40">
        <f t="shared" ca="1" si="1"/>
        <v>148.59086805560219</v>
      </c>
      <c r="G49" s="39">
        <f t="shared" si="2"/>
        <v>3</v>
      </c>
      <c r="H49" s="41">
        <f t="shared" si="3"/>
        <v>32.49</v>
      </c>
    </row>
    <row r="50" spans="1:8">
      <c r="A50" s="39" t="s">
        <v>223</v>
      </c>
      <c r="B50" s="45">
        <v>46228.409131944398</v>
      </c>
      <c r="C50" s="39">
        <v>3</v>
      </c>
      <c r="D50" s="41">
        <v>86.68</v>
      </c>
      <c r="E50" s="39" t="str">
        <f t="shared" si="0"/>
        <v>CUST0051</v>
      </c>
      <c r="F50" s="40">
        <f t="shared" ca="1" si="1"/>
        <v>72.590868055602186</v>
      </c>
      <c r="G50" s="39">
        <f t="shared" si="2"/>
        <v>3</v>
      </c>
      <c r="H50" s="41">
        <f t="shared" si="3"/>
        <v>86.68</v>
      </c>
    </row>
    <row r="51" spans="1:8">
      <c r="A51" s="39" t="s">
        <v>677</v>
      </c>
      <c r="B51" s="45">
        <v>46253.409131944398</v>
      </c>
      <c r="C51" s="39">
        <v>2</v>
      </c>
      <c r="D51" s="41">
        <v>52.57</v>
      </c>
      <c r="E51" s="39" t="str">
        <f t="shared" si="0"/>
        <v>CUST0052</v>
      </c>
      <c r="F51" s="40">
        <f t="shared" ca="1" si="1"/>
        <v>47.590868055602186</v>
      </c>
      <c r="G51" s="39">
        <f t="shared" si="2"/>
        <v>2</v>
      </c>
      <c r="H51" s="41">
        <f t="shared" si="3"/>
        <v>52.57</v>
      </c>
    </row>
    <row r="52" spans="1:8">
      <c r="A52" s="39" t="s">
        <v>420</v>
      </c>
      <c r="B52" s="45">
        <v>46281.409131944398</v>
      </c>
      <c r="C52" s="39">
        <v>2</v>
      </c>
      <c r="D52" s="41">
        <v>13.86</v>
      </c>
      <c r="E52" s="39" t="str">
        <f t="shared" si="0"/>
        <v>CUST0053</v>
      </c>
      <c r="F52" s="40">
        <f t="shared" ca="1" si="1"/>
        <v>19.590868055602186</v>
      </c>
      <c r="G52" s="39">
        <f t="shared" si="2"/>
        <v>2</v>
      </c>
      <c r="H52" s="41">
        <f t="shared" si="3"/>
        <v>13.86</v>
      </c>
    </row>
    <row r="53" spans="1:8">
      <c r="A53" s="39" t="s">
        <v>355</v>
      </c>
      <c r="B53" s="45">
        <v>46207.409131944398</v>
      </c>
      <c r="C53" s="39">
        <v>2</v>
      </c>
      <c r="D53" s="41">
        <v>14.21</v>
      </c>
      <c r="E53" s="39" t="str">
        <f t="shared" si="0"/>
        <v>CUST0054</v>
      </c>
      <c r="F53" s="40">
        <f t="shared" ca="1" si="1"/>
        <v>93.590868055602186</v>
      </c>
      <c r="G53" s="39">
        <f t="shared" si="2"/>
        <v>2</v>
      </c>
      <c r="H53" s="41">
        <f t="shared" si="3"/>
        <v>14.21</v>
      </c>
    </row>
    <row r="54" spans="1:8">
      <c r="A54" s="39" t="s">
        <v>241</v>
      </c>
      <c r="B54" s="45">
        <v>46191.409131944398</v>
      </c>
      <c r="C54" s="39">
        <v>5</v>
      </c>
      <c r="D54" s="41">
        <v>81.3</v>
      </c>
      <c r="E54" s="39" t="str">
        <f t="shared" si="0"/>
        <v>CUST0055</v>
      </c>
      <c r="F54" s="40">
        <f t="shared" ca="1" si="1"/>
        <v>109.59086805560219</v>
      </c>
      <c r="G54" s="39">
        <f t="shared" si="2"/>
        <v>5</v>
      </c>
      <c r="H54" s="41">
        <f t="shared" si="3"/>
        <v>81.3</v>
      </c>
    </row>
    <row r="55" spans="1:8">
      <c r="A55" s="39" t="s">
        <v>754</v>
      </c>
      <c r="B55" s="45">
        <v>46275.409131944398</v>
      </c>
      <c r="C55" s="39">
        <v>1</v>
      </c>
      <c r="D55" s="41">
        <v>10.48</v>
      </c>
      <c r="E55" s="39" t="str">
        <f t="shared" si="0"/>
        <v>CUST0056</v>
      </c>
      <c r="F55" s="40">
        <f t="shared" ca="1" si="1"/>
        <v>25.590868055602186</v>
      </c>
      <c r="G55" s="39">
        <f t="shared" si="2"/>
        <v>1</v>
      </c>
      <c r="H55" s="41">
        <f t="shared" si="3"/>
        <v>10.48</v>
      </c>
    </row>
    <row r="56" spans="1:8">
      <c r="A56" s="39" t="s">
        <v>568</v>
      </c>
      <c r="B56" s="45">
        <v>46191.409131944398</v>
      </c>
      <c r="C56" s="39">
        <v>1</v>
      </c>
      <c r="D56" s="41">
        <v>24.63</v>
      </c>
      <c r="E56" s="39" t="str">
        <f t="shared" si="0"/>
        <v>CUST0057</v>
      </c>
      <c r="F56" s="40">
        <f t="shared" ca="1" si="1"/>
        <v>109.59086805560219</v>
      </c>
      <c r="G56" s="39">
        <f t="shared" si="2"/>
        <v>1</v>
      </c>
      <c r="H56" s="41">
        <f t="shared" si="3"/>
        <v>24.63</v>
      </c>
    </row>
    <row r="57" spans="1:8">
      <c r="A57" s="39" t="s">
        <v>848</v>
      </c>
      <c r="B57" s="45">
        <v>46165.409131944398</v>
      </c>
      <c r="C57" s="39">
        <v>2</v>
      </c>
      <c r="D57" s="41">
        <v>83.66</v>
      </c>
      <c r="E57" s="39" t="str">
        <f t="shared" si="0"/>
        <v>CUST0058</v>
      </c>
      <c r="F57" s="40">
        <f t="shared" ca="1" si="1"/>
        <v>135.59086805560219</v>
      </c>
      <c r="G57" s="39">
        <f t="shared" si="2"/>
        <v>2</v>
      </c>
      <c r="H57" s="41">
        <f t="shared" si="3"/>
        <v>83.66</v>
      </c>
    </row>
    <row r="58" spans="1:8">
      <c r="A58" s="39" t="s">
        <v>429</v>
      </c>
      <c r="B58" s="45">
        <v>46277.409131944398</v>
      </c>
      <c r="C58" s="39">
        <v>7</v>
      </c>
      <c r="D58" s="41">
        <v>99.24</v>
      </c>
      <c r="E58" s="39" t="str">
        <f t="shared" si="0"/>
        <v>CUST0059</v>
      </c>
      <c r="F58" s="40">
        <f t="shared" ca="1" si="1"/>
        <v>23.590868055602186</v>
      </c>
      <c r="G58" s="39">
        <f t="shared" si="2"/>
        <v>7</v>
      </c>
      <c r="H58" s="41">
        <f t="shared" si="3"/>
        <v>99.24</v>
      </c>
    </row>
    <row r="59" spans="1:8">
      <c r="A59" s="39" t="s">
        <v>60</v>
      </c>
      <c r="B59" s="45">
        <v>46274.409131944398</v>
      </c>
      <c r="C59" s="39">
        <v>4</v>
      </c>
      <c r="D59" s="41">
        <v>88.92</v>
      </c>
      <c r="E59" s="39" t="str">
        <f t="shared" si="0"/>
        <v>CUST0060</v>
      </c>
      <c r="F59" s="40">
        <f t="shared" ca="1" si="1"/>
        <v>26.590868055602186</v>
      </c>
      <c r="G59" s="39">
        <f t="shared" si="2"/>
        <v>4</v>
      </c>
      <c r="H59" s="41">
        <f t="shared" si="3"/>
        <v>88.92</v>
      </c>
    </row>
    <row r="60" spans="1:8">
      <c r="A60" s="39" t="s">
        <v>546</v>
      </c>
      <c r="B60" s="45">
        <v>46089.409131944398</v>
      </c>
      <c r="C60" s="39">
        <v>3</v>
      </c>
      <c r="D60" s="41">
        <v>46.61</v>
      </c>
      <c r="E60" s="39" t="str">
        <f t="shared" si="0"/>
        <v>CUST0061</v>
      </c>
      <c r="F60" s="40">
        <f t="shared" ca="1" si="1"/>
        <v>211.59086805560219</v>
      </c>
      <c r="G60" s="39">
        <f t="shared" si="2"/>
        <v>3</v>
      </c>
      <c r="H60" s="41">
        <f t="shared" si="3"/>
        <v>46.61</v>
      </c>
    </row>
    <row r="61" spans="1:8">
      <c r="A61" s="39" t="s">
        <v>80</v>
      </c>
      <c r="B61" s="45">
        <v>46125.409131944398</v>
      </c>
      <c r="C61" s="39">
        <v>3</v>
      </c>
      <c r="D61" s="41">
        <v>51.04</v>
      </c>
      <c r="E61" s="39" t="str">
        <f t="shared" si="0"/>
        <v>CUST0062</v>
      </c>
      <c r="F61" s="40">
        <f t="shared" ca="1" si="1"/>
        <v>175.59086805560219</v>
      </c>
      <c r="G61" s="39">
        <f t="shared" si="2"/>
        <v>3</v>
      </c>
      <c r="H61" s="41">
        <f t="shared" si="3"/>
        <v>51.04</v>
      </c>
    </row>
    <row r="62" spans="1:8">
      <c r="A62" s="39" t="s">
        <v>106</v>
      </c>
      <c r="B62" s="45">
        <v>46178.409131944398</v>
      </c>
      <c r="C62" s="39">
        <v>6</v>
      </c>
      <c r="D62" s="41">
        <v>96.28</v>
      </c>
      <c r="E62" s="39" t="str">
        <f t="shared" si="0"/>
        <v>CUST0063</v>
      </c>
      <c r="F62" s="40">
        <f t="shared" ca="1" si="1"/>
        <v>122.59086805560219</v>
      </c>
      <c r="G62" s="39">
        <f t="shared" si="2"/>
        <v>6</v>
      </c>
      <c r="H62" s="41">
        <f t="shared" si="3"/>
        <v>96.28</v>
      </c>
    </row>
    <row r="63" spans="1:8">
      <c r="A63" s="39" t="s">
        <v>497</v>
      </c>
      <c r="B63" s="45">
        <v>46282.409131944398</v>
      </c>
      <c r="C63" s="39">
        <v>3</v>
      </c>
      <c r="D63" s="41">
        <v>49.8</v>
      </c>
      <c r="E63" s="39" t="str">
        <f t="shared" si="0"/>
        <v>CUST0064</v>
      </c>
      <c r="F63" s="40">
        <f t="shared" ca="1" si="1"/>
        <v>18.590868055602186</v>
      </c>
      <c r="G63" s="39">
        <f t="shared" si="2"/>
        <v>3</v>
      </c>
      <c r="H63" s="41">
        <f t="shared" si="3"/>
        <v>49.8</v>
      </c>
    </row>
    <row r="64" spans="1:8">
      <c r="A64" s="39" t="s">
        <v>652</v>
      </c>
      <c r="B64" s="45">
        <v>46300.409131944398</v>
      </c>
      <c r="C64" s="39">
        <v>2</v>
      </c>
      <c r="D64" s="41">
        <v>23.78</v>
      </c>
      <c r="E64" s="39" t="str">
        <f t="shared" si="0"/>
        <v>CUST0065</v>
      </c>
      <c r="F64" s="40">
        <f t="shared" ca="1" si="1"/>
        <v>0.59086805560218636</v>
      </c>
      <c r="G64" s="39">
        <f t="shared" si="2"/>
        <v>2</v>
      </c>
      <c r="H64" s="41">
        <f t="shared" si="3"/>
        <v>23.78</v>
      </c>
    </row>
    <row r="65" spans="1:8">
      <c r="A65" s="39" t="s">
        <v>1030</v>
      </c>
      <c r="B65" s="45">
        <v>46293.409131944398</v>
      </c>
      <c r="C65" s="39">
        <v>2</v>
      </c>
      <c r="D65" s="41">
        <v>56.19</v>
      </c>
      <c r="E65" s="39" t="str">
        <f t="shared" si="0"/>
        <v>CUST0066</v>
      </c>
      <c r="F65" s="40">
        <f t="shared" ca="1" si="1"/>
        <v>7.5908680556021864</v>
      </c>
      <c r="G65" s="39">
        <f t="shared" si="2"/>
        <v>2</v>
      </c>
      <c r="H65" s="41">
        <f t="shared" si="3"/>
        <v>56.19</v>
      </c>
    </row>
    <row r="66" spans="1:8">
      <c r="A66" s="39" t="s">
        <v>124</v>
      </c>
      <c r="B66" s="45">
        <v>46048.409131944398</v>
      </c>
      <c r="C66" s="39">
        <v>2</v>
      </c>
      <c r="D66" s="41">
        <v>50.21</v>
      </c>
      <c r="E66" s="39" t="str">
        <f t="shared" si="0"/>
        <v>CUST0067</v>
      </c>
      <c r="F66" s="40">
        <f t="shared" ca="1" si="1"/>
        <v>252.59086805560219</v>
      </c>
      <c r="G66" s="39">
        <f t="shared" si="2"/>
        <v>2</v>
      </c>
      <c r="H66" s="41">
        <f t="shared" si="3"/>
        <v>50.21</v>
      </c>
    </row>
    <row r="67" spans="1:8">
      <c r="A67" s="39" t="s">
        <v>719</v>
      </c>
      <c r="B67" s="45">
        <v>46153.409131944398</v>
      </c>
      <c r="C67" s="39">
        <v>2</v>
      </c>
      <c r="D67" s="41">
        <v>40.29</v>
      </c>
      <c r="E67" s="39" t="str">
        <f t="shared" si="0"/>
        <v>CUST0068</v>
      </c>
      <c r="F67" s="40">
        <f t="shared" ca="1" si="1"/>
        <v>147.59086805560219</v>
      </c>
      <c r="G67" s="39">
        <f t="shared" si="2"/>
        <v>2</v>
      </c>
      <c r="H67" s="41">
        <f t="shared" si="3"/>
        <v>40.29</v>
      </c>
    </row>
    <row r="68" spans="1:8">
      <c r="A68" s="39" t="s">
        <v>45</v>
      </c>
      <c r="B68" s="45">
        <v>46244.409131944398</v>
      </c>
      <c r="C68" s="39">
        <v>5</v>
      </c>
      <c r="D68" s="41">
        <v>56.24</v>
      </c>
      <c r="E68" s="39" t="str">
        <f t="shared" ref="E68:E131" si="4">A68</f>
        <v>CUST0069</v>
      </c>
      <c r="F68" s="40">
        <f t="shared" ref="F68:F131" ca="1" si="5">TODAY()-B68</f>
        <v>56.590868055602186</v>
      </c>
      <c r="G68" s="39">
        <f t="shared" ref="G68:G131" si="6">C68</f>
        <v>5</v>
      </c>
      <c r="H68" s="41">
        <f t="shared" ref="H68:H131" si="7">D68</f>
        <v>56.24</v>
      </c>
    </row>
    <row r="69" spans="1:8">
      <c r="A69" s="39" t="s">
        <v>1246</v>
      </c>
      <c r="B69" s="45">
        <v>46285.409131944398</v>
      </c>
      <c r="C69" s="39">
        <v>1</v>
      </c>
      <c r="D69" s="41">
        <v>13.79</v>
      </c>
      <c r="E69" s="39" t="str">
        <f t="shared" si="4"/>
        <v>CUST0071</v>
      </c>
      <c r="F69" s="40">
        <f t="shared" ca="1" si="5"/>
        <v>15.590868055602186</v>
      </c>
      <c r="G69" s="39">
        <f t="shared" si="6"/>
        <v>1</v>
      </c>
      <c r="H69" s="41">
        <f t="shared" si="7"/>
        <v>13.79</v>
      </c>
    </row>
    <row r="70" spans="1:8">
      <c r="A70" s="39" t="s">
        <v>682</v>
      </c>
      <c r="B70" s="45">
        <v>46108.409131944398</v>
      </c>
      <c r="C70" s="39">
        <v>5</v>
      </c>
      <c r="D70" s="41">
        <v>41.33</v>
      </c>
      <c r="E70" s="39" t="str">
        <f t="shared" si="4"/>
        <v>CUST0072</v>
      </c>
      <c r="F70" s="40">
        <f t="shared" ca="1" si="5"/>
        <v>192.59086805560219</v>
      </c>
      <c r="G70" s="39">
        <f t="shared" si="6"/>
        <v>5</v>
      </c>
      <c r="H70" s="41">
        <f t="shared" si="7"/>
        <v>41.33</v>
      </c>
    </row>
    <row r="71" spans="1:8">
      <c r="A71" s="39" t="s">
        <v>537</v>
      </c>
      <c r="B71" s="45">
        <v>46127.409131944398</v>
      </c>
      <c r="C71" s="39">
        <v>5</v>
      </c>
      <c r="D71" s="41">
        <v>142.38</v>
      </c>
      <c r="E71" s="39" t="str">
        <f t="shared" si="4"/>
        <v>CUST0073</v>
      </c>
      <c r="F71" s="40">
        <f t="shared" ca="1" si="5"/>
        <v>173.59086805560219</v>
      </c>
      <c r="G71" s="39">
        <f t="shared" si="6"/>
        <v>5</v>
      </c>
      <c r="H71" s="41">
        <f t="shared" si="7"/>
        <v>142.38</v>
      </c>
    </row>
    <row r="72" spans="1:8">
      <c r="A72" s="39" t="s">
        <v>811</v>
      </c>
      <c r="B72" s="45">
        <v>46125.409131944398</v>
      </c>
      <c r="C72" s="39">
        <v>2</v>
      </c>
      <c r="D72" s="41">
        <v>20.81</v>
      </c>
      <c r="E72" s="39" t="str">
        <f t="shared" si="4"/>
        <v>CUST0074</v>
      </c>
      <c r="F72" s="40">
        <f t="shared" ca="1" si="5"/>
        <v>175.59086805560219</v>
      </c>
      <c r="G72" s="39">
        <f t="shared" si="6"/>
        <v>2</v>
      </c>
      <c r="H72" s="41">
        <f t="shared" si="7"/>
        <v>20.81</v>
      </c>
    </row>
    <row r="73" spans="1:8">
      <c r="A73" s="39" t="s">
        <v>260</v>
      </c>
      <c r="B73" s="45">
        <v>46166.409131944398</v>
      </c>
      <c r="C73" s="39">
        <v>3</v>
      </c>
      <c r="D73" s="41">
        <v>60.87</v>
      </c>
      <c r="E73" s="39" t="str">
        <f t="shared" si="4"/>
        <v>CUST0075</v>
      </c>
      <c r="F73" s="40">
        <f t="shared" ca="1" si="5"/>
        <v>134.59086805560219</v>
      </c>
      <c r="G73" s="39">
        <f t="shared" si="6"/>
        <v>3</v>
      </c>
      <c r="H73" s="41">
        <f t="shared" si="7"/>
        <v>60.87</v>
      </c>
    </row>
    <row r="74" spans="1:8">
      <c r="A74" s="39" t="s">
        <v>52</v>
      </c>
      <c r="B74" s="45">
        <v>46229.409131944398</v>
      </c>
      <c r="C74" s="39">
        <v>5</v>
      </c>
      <c r="D74" s="41">
        <v>75.69</v>
      </c>
      <c r="E74" s="39" t="str">
        <f t="shared" si="4"/>
        <v>CUST0076</v>
      </c>
      <c r="F74" s="40">
        <f t="shared" ca="1" si="5"/>
        <v>71.590868055602186</v>
      </c>
      <c r="G74" s="39">
        <f t="shared" si="6"/>
        <v>5</v>
      </c>
      <c r="H74" s="41">
        <f t="shared" si="7"/>
        <v>75.69</v>
      </c>
    </row>
    <row r="75" spans="1:8">
      <c r="A75" s="39" t="s">
        <v>795</v>
      </c>
      <c r="B75" s="45">
        <v>46188.409131944398</v>
      </c>
      <c r="C75" s="39">
        <v>4</v>
      </c>
      <c r="D75" s="41">
        <v>91.19</v>
      </c>
      <c r="E75" s="39" t="str">
        <f t="shared" si="4"/>
        <v>CUST0077</v>
      </c>
      <c r="F75" s="40">
        <f t="shared" ca="1" si="5"/>
        <v>112.59086805560219</v>
      </c>
      <c r="G75" s="39">
        <f t="shared" si="6"/>
        <v>4</v>
      </c>
      <c r="H75" s="41">
        <f t="shared" si="7"/>
        <v>91.19</v>
      </c>
    </row>
    <row r="76" spans="1:8">
      <c r="A76" s="39" t="s">
        <v>78</v>
      </c>
      <c r="B76" s="45">
        <v>46294.409131944398</v>
      </c>
      <c r="C76" s="39">
        <v>3</v>
      </c>
      <c r="D76" s="41">
        <v>70.13</v>
      </c>
      <c r="E76" s="39" t="str">
        <f t="shared" si="4"/>
        <v>CUST0078</v>
      </c>
      <c r="F76" s="40">
        <f t="shared" ca="1" si="5"/>
        <v>6.5908680556021864</v>
      </c>
      <c r="G76" s="39">
        <f t="shared" si="6"/>
        <v>3</v>
      </c>
      <c r="H76" s="41">
        <f t="shared" si="7"/>
        <v>70.13</v>
      </c>
    </row>
    <row r="77" spans="1:8">
      <c r="A77" s="39" t="s">
        <v>846</v>
      </c>
      <c r="B77" s="45">
        <v>46277.409131944398</v>
      </c>
      <c r="C77" s="39">
        <v>2</v>
      </c>
      <c r="D77" s="41">
        <v>38.49</v>
      </c>
      <c r="E77" s="39" t="str">
        <f t="shared" si="4"/>
        <v>CUST0079</v>
      </c>
      <c r="F77" s="40">
        <f t="shared" ca="1" si="5"/>
        <v>23.590868055602186</v>
      </c>
      <c r="G77" s="39">
        <f t="shared" si="6"/>
        <v>2</v>
      </c>
      <c r="H77" s="41">
        <f t="shared" si="7"/>
        <v>38.49</v>
      </c>
    </row>
    <row r="78" spans="1:8">
      <c r="A78" s="39" t="s">
        <v>571</v>
      </c>
      <c r="B78" s="45">
        <v>46238.409131944398</v>
      </c>
      <c r="C78" s="39">
        <v>3</v>
      </c>
      <c r="D78" s="41">
        <v>80.930000000000007</v>
      </c>
      <c r="E78" s="39" t="str">
        <f t="shared" si="4"/>
        <v>CUST0080</v>
      </c>
      <c r="F78" s="40">
        <f t="shared" ca="1" si="5"/>
        <v>62.590868055602186</v>
      </c>
      <c r="G78" s="39">
        <f t="shared" si="6"/>
        <v>3</v>
      </c>
      <c r="H78" s="41">
        <f t="shared" si="7"/>
        <v>80.930000000000007</v>
      </c>
    </row>
    <row r="79" spans="1:8">
      <c r="A79" s="39" t="s">
        <v>424</v>
      </c>
      <c r="B79" s="45">
        <v>46083.409131944398</v>
      </c>
      <c r="C79" s="39">
        <v>3</v>
      </c>
      <c r="D79" s="41">
        <v>52.34</v>
      </c>
      <c r="E79" s="39" t="str">
        <f t="shared" si="4"/>
        <v>CUST0081</v>
      </c>
      <c r="F79" s="40">
        <f t="shared" ca="1" si="5"/>
        <v>217.59086805560219</v>
      </c>
      <c r="G79" s="39">
        <f t="shared" si="6"/>
        <v>3</v>
      </c>
      <c r="H79" s="41">
        <f t="shared" si="7"/>
        <v>52.34</v>
      </c>
    </row>
    <row r="80" spans="1:8">
      <c r="A80" s="39" t="s">
        <v>398</v>
      </c>
      <c r="B80" s="45">
        <v>46300.409131944398</v>
      </c>
      <c r="C80" s="39">
        <v>5</v>
      </c>
      <c r="D80" s="41">
        <v>88.89</v>
      </c>
      <c r="E80" s="39" t="str">
        <f t="shared" si="4"/>
        <v>CUST0082</v>
      </c>
      <c r="F80" s="40">
        <f t="shared" ca="1" si="5"/>
        <v>0.59086805560218636</v>
      </c>
      <c r="G80" s="39">
        <f t="shared" si="6"/>
        <v>5</v>
      </c>
      <c r="H80" s="41">
        <f t="shared" si="7"/>
        <v>88.89</v>
      </c>
    </row>
    <row r="81" spans="1:8">
      <c r="A81" s="39" t="s">
        <v>31</v>
      </c>
      <c r="B81" s="45">
        <v>46266.409131944398</v>
      </c>
      <c r="C81" s="39">
        <v>8</v>
      </c>
      <c r="D81" s="41">
        <v>123.51</v>
      </c>
      <c r="E81" s="39" t="str">
        <f t="shared" si="4"/>
        <v>CUST0084</v>
      </c>
      <c r="F81" s="40">
        <f t="shared" ca="1" si="5"/>
        <v>34.590868055602186</v>
      </c>
      <c r="G81" s="39">
        <f t="shared" si="6"/>
        <v>8</v>
      </c>
      <c r="H81" s="41">
        <f t="shared" si="7"/>
        <v>123.51</v>
      </c>
    </row>
    <row r="82" spans="1:8">
      <c r="A82" s="39" t="s">
        <v>387</v>
      </c>
      <c r="B82" s="45">
        <v>46119.409131944398</v>
      </c>
      <c r="C82" s="39">
        <v>2</v>
      </c>
      <c r="D82" s="41">
        <v>41.95</v>
      </c>
      <c r="E82" s="39" t="str">
        <f t="shared" si="4"/>
        <v>CUST0085</v>
      </c>
      <c r="F82" s="40">
        <f t="shared" ca="1" si="5"/>
        <v>181.59086805560219</v>
      </c>
      <c r="G82" s="39">
        <f t="shared" si="6"/>
        <v>2</v>
      </c>
      <c r="H82" s="41">
        <f t="shared" si="7"/>
        <v>41.95</v>
      </c>
    </row>
    <row r="83" spans="1:8">
      <c r="A83" s="39" t="s">
        <v>147</v>
      </c>
      <c r="B83" s="45">
        <v>46261.409131944398</v>
      </c>
      <c r="C83" s="39">
        <v>4</v>
      </c>
      <c r="D83" s="41">
        <v>30.27</v>
      </c>
      <c r="E83" s="39" t="str">
        <f t="shared" si="4"/>
        <v>CUST0086</v>
      </c>
      <c r="F83" s="40">
        <f t="shared" ca="1" si="5"/>
        <v>39.590868055602186</v>
      </c>
      <c r="G83" s="39">
        <f t="shared" si="6"/>
        <v>4</v>
      </c>
      <c r="H83" s="41">
        <f t="shared" si="7"/>
        <v>30.27</v>
      </c>
    </row>
    <row r="84" spans="1:8">
      <c r="A84" s="39" t="s">
        <v>344</v>
      </c>
      <c r="B84" s="45">
        <v>46155.409131944398</v>
      </c>
      <c r="C84" s="39">
        <v>4</v>
      </c>
      <c r="D84" s="41">
        <v>57.61</v>
      </c>
      <c r="E84" s="39" t="str">
        <f t="shared" si="4"/>
        <v>CUST0087</v>
      </c>
      <c r="F84" s="40">
        <f t="shared" ca="1" si="5"/>
        <v>145.59086805560219</v>
      </c>
      <c r="G84" s="39">
        <f t="shared" si="6"/>
        <v>4</v>
      </c>
      <c r="H84" s="41">
        <f t="shared" si="7"/>
        <v>57.61</v>
      </c>
    </row>
    <row r="85" spans="1:8">
      <c r="A85" s="39" t="s">
        <v>370</v>
      </c>
      <c r="B85" s="45">
        <v>46160.409131944398</v>
      </c>
      <c r="C85" s="39">
        <v>2</v>
      </c>
      <c r="D85" s="41">
        <v>21.91</v>
      </c>
      <c r="E85" s="39" t="str">
        <f t="shared" si="4"/>
        <v>CUST0088</v>
      </c>
      <c r="F85" s="40">
        <f t="shared" ca="1" si="5"/>
        <v>140.59086805560219</v>
      </c>
      <c r="G85" s="39">
        <f t="shared" si="6"/>
        <v>2</v>
      </c>
      <c r="H85" s="41">
        <f t="shared" si="7"/>
        <v>21.91</v>
      </c>
    </row>
    <row r="86" spans="1:8">
      <c r="A86" s="39" t="s">
        <v>84</v>
      </c>
      <c r="B86" s="45">
        <v>46227.409131944398</v>
      </c>
      <c r="C86" s="39">
        <v>6</v>
      </c>
      <c r="D86" s="41">
        <v>60.04</v>
      </c>
      <c r="E86" s="39" t="str">
        <f t="shared" si="4"/>
        <v>CUST0089</v>
      </c>
      <c r="F86" s="40">
        <f t="shared" ca="1" si="5"/>
        <v>73.590868055602186</v>
      </c>
      <c r="G86" s="39">
        <f t="shared" si="6"/>
        <v>6</v>
      </c>
      <c r="H86" s="41">
        <f t="shared" si="7"/>
        <v>60.04</v>
      </c>
    </row>
    <row r="87" spans="1:8">
      <c r="A87" s="39" t="s">
        <v>258</v>
      </c>
      <c r="B87" s="45">
        <v>46287.409131944398</v>
      </c>
      <c r="C87" s="39">
        <v>5</v>
      </c>
      <c r="D87" s="41">
        <v>49.97</v>
      </c>
      <c r="E87" s="39" t="str">
        <f t="shared" si="4"/>
        <v>CUST0090</v>
      </c>
      <c r="F87" s="40">
        <f t="shared" ca="1" si="5"/>
        <v>13.590868055602186</v>
      </c>
      <c r="G87" s="39">
        <f t="shared" si="6"/>
        <v>5</v>
      </c>
      <c r="H87" s="41">
        <f t="shared" si="7"/>
        <v>49.97</v>
      </c>
    </row>
    <row r="88" spans="1:8">
      <c r="A88" s="39" t="s">
        <v>219</v>
      </c>
      <c r="B88" s="45">
        <v>46155.409131944398</v>
      </c>
      <c r="C88" s="39">
        <v>5</v>
      </c>
      <c r="D88" s="41">
        <v>113.27</v>
      </c>
      <c r="E88" s="39" t="str">
        <f t="shared" si="4"/>
        <v>CUST0092</v>
      </c>
      <c r="F88" s="40">
        <f t="shared" ca="1" si="5"/>
        <v>145.59086805560219</v>
      </c>
      <c r="G88" s="39">
        <f t="shared" si="6"/>
        <v>5</v>
      </c>
      <c r="H88" s="41">
        <f t="shared" si="7"/>
        <v>113.27</v>
      </c>
    </row>
    <row r="89" spans="1:8">
      <c r="A89" s="39" t="s">
        <v>891</v>
      </c>
      <c r="B89" s="45">
        <v>46300.409131944398</v>
      </c>
      <c r="C89" s="39">
        <v>4</v>
      </c>
      <c r="D89" s="41">
        <v>64.37</v>
      </c>
      <c r="E89" s="39" t="str">
        <f t="shared" si="4"/>
        <v>CUST0093</v>
      </c>
      <c r="F89" s="40">
        <f t="shared" ca="1" si="5"/>
        <v>0.59086805560218636</v>
      </c>
      <c r="G89" s="39">
        <f t="shared" si="6"/>
        <v>4</v>
      </c>
      <c r="H89" s="41">
        <f t="shared" si="7"/>
        <v>64.37</v>
      </c>
    </row>
    <row r="90" spans="1:8">
      <c r="A90" s="39" t="s">
        <v>41</v>
      </c>
      <c r="B90" s="45">
        <v>46066.409131944398</v>
      </c>
      <c r="C90" s="39">
        <v>1</v>
      </c>
      <c r="D90" s="41">
        <v>11.82</v>
      </c>
      <c r="E90" s="39" t="str">
        <f t="shared" si="4"/>
        <v>CUST0094</v>
      </c>
      <c r="F90" s="40">
        <f t="shared" ca="1" si="5"/>
        <v>234.59086805560219</v>
      </c>
      <c r="G90" s="39">
        <f t="shared" si="6"/>
        <v>1</v>
      </c>
      <c r="H90" s="41">
        <f t="shared" si="7"/>
        <v>11.82</v>
      </c>
    </row>
    <row r="91" spans="1:8">
      <c r="A91" s="39" t="s">
        <v>43</v>
      </c>
      <c r="B91" s="45">
        <v>46252.409131944398</v>
      </c>
      <c r="C91" s="39">
        <v>3</v>
      </c>
      <c r="D91" s="41">
        <v>31.41</v>
      </c>
      <c r="E91" s="39" t="str">
        <f t="shared" si="4"/>
        <v>CUST0095</v>
      </c>
      <c r="F91" s="40">
        <f t="shared" ca="1" si="5"/>
        <v>48.590868055602186</v>
      </c>
      <c r="G91" s="39">
        <f t="shared" si="6"/>
        <v>3</v>
      </c>
      <c r="H91" s="41">
        <f t="shared" si="7"/>
        <v>31.41</v>
      </c>
    </row>
    <row r="92" spans="1:8">
      <c r="A92" s="39" t="s">
        <v>368</v>
      </c>
      <c r="B92" s="45">
        <v>46246.409131944398</v>
      </c>
      <c r="C92" s="39">
        <v>3</v>
      </c>
      <c r="D92" s="41">
        <v>95.01</v>
      </c>
      <c r="E92" s="39" t="str">
        <f t="shared" si="4"/>
        <v>CUST0096</v>
      </c>
      <c r="F92" s="40">
        <f t="shared" ca="1" si="5"/>
        <v>54.590868055602186</v>
      </c>
      <c r="G92" s="39">
        <f t="shared" si="6"/>
        <v>3</v>
      </c>
      <c r="H92" s="41">
        <f t="shared" si="7"/>
        <v>95.01</v>
      </c>
    </row>
    <row r="93" spans="1:8">
      <c r="A93" s="39" t="s">
        <v>140</v>
      </c>
      <c r="B93" s="45">
        <v>46126.409131944398</v>
      </c>
      <c r="C93" s="39">
        <v>2</v>
      </c>
      <c r="D93" s="41">
        <v>32.729999999999997</v>
      </c>
      <c r="E93" s="39" t="str">
        <f t="shared" si="4"/>
        <v>CUST0097</v>
      </c>
      <c r="F93" s="40">
        <f t="shared" ca="1" si="5"/>
        <v>174.59086805560219</v>
      </c>
      <c r="G93" s="39">
        <f t="shared" si="6"/>
        <v>2</v>
      </c>
      <c r="H93" s="41">
        <f t="shared" si="7"/>
        <v>32.729999999999997</v>
      </c>
    </row>
    <row r="94" spans="1:8">
      <c r="A94" s="39" t="s">
        <v>460</v>
      </c>
      <c r="B94" s="45">
        <v>46300.409131944398</v>
      </c>
      <c r="C94" s="39">
        <v>6</v>
      </c>
      <c r="D94" s="41">
        <v>122.55</v>
      </c>
      <c r="E94" s="39" t="str">
        <f t="shared" si="4"/>
        <v>CUST0098</v>
      </c>
      <c r="F94" s="40">
        <f t="shared" ca="1" si="5"/>
        <v>0.59086805560218636</v>
      </c>
      <c r="G94" s="39">
        <f t="shared" si="6"/>
        <v>6</v>
      </c>
      <c r="H94" s="41">
        <f t="shared" si="7"/>
        <v>122.55</v>
      </c>
    </row>
    <row r="95" spans="1:8">
      <c r="A95" s="39" t="s">
        <v>703</v>
      </c>
      <c r="B95" s="45">
        <v>46284.409131944398</v>
      </c>
      <c r="C95" s="39">
        <v>2</v>
      </c>
      <c r="D95" s="41">
        <v>58.25</v>
      </c>
      <c r="E95" s="39" t="str">
        <f t="shared" si="4"/>
        <v>CUST0099</v>
      </c>
      <c r="F95" s="40">
        <f t="shared" ca="1" si="5"/>
        <v>16.590868055602186</v>
      </c>
      <c r="G95" s="39">
        <f t="shared" si="6"/>
        <v>2</v>
      </c>
      <c r="H95" s="41">
        <f t="shared" si="7"/>
        <v>58.25</v>
      </c>
    </row>
    <row r="96" spans="1:8">
      <c r="A96" s="39" t="s">
        <v>1047</v>
      </c>
      <c r="B96" s="45">
        <v>46068.409131944398</v>
      </c>
      <c r="C96" s="39">
        <v>2</v>
      </c>
      <c r="D96" s="41">
        <v>18.39</v>
      </c>
      <c r="E96" s="39" t="str">
        <f t="shared" si="4"/>
        <v>CUST0100</v>
      </c>
      <c r="F96" s="40">
        <f t="shared" ca="1" si="5"/>
        <v>232.59086805560219</v>
      </c>
      <c r="G96" s="39">
        <f t="shared" si="6"/>
        <v>2</v>
      </c>
      <c r="H96" s="41">
        <f t="shared" si="7"/>
        <v>18.39</v>
      </c>
    </row>
    <row r="97" spans="1:8">
      <c r="A97" s="39" t="s">
        <v>33</v>
      </c>
      <c r="B97" s="45">
        <v>46126.409131944398</v>
      </c>
      <c r="C97" s="39">
        <v>3</v>
      </c>
      <c r="D97" s="41">
        <v>70.75</v>
      </c>
      <c r="E97" s="39" t="str">
        <f t="shared" si="4"/>
        <v>CUST0101</v>
      </c>
      <c r="F97" s="40">
        <f t="shared" ca="1" si="5"/>
        <v>174.59086805560219</v>
      </c>
      <c r="G97" s="39">
        <f t="shared" si="6"/>
        <v>3</v>
      </c>
      <c r="H97" s="41">
        <f t="shared" si="7"/>
        <v>70.75</v>
      </c>
    </row>
    <row r="98" spans="1:8">
      <c r="A98" s="39" t="s">
        <v>558</v>
      </c>
      <c r="B98" s="45">
        <v>46298.409131944398</v>
      </c>
      <c r="C98" s="39">
        <v>5</v>
      </c>
      <c r="D98" s="41">
        <v>108.92</v>
      </c>
      <c r="E98" s="39" t="str">
        <f t="shared" si="4"/>
        <v>CUST0102</v>
      </c>
      <c r="F98" s="40">
        <f t="shared" ca="1" si="5"/>
        <v>2.5908680556021864</v>
      </c>
      <c r="G98" s="39">
        <f t="shared" si="6"/>
        <v>5</v>
      </c>
      <c r="H98" s="41">
        <f t="shared" si="7"/>
        <v>108.92</v>
      </c>
    </row>
    <row r="99" spans="1:8">
      <c r="A99" s="39" t="s">
        <v>606</v>
      </c>
      <c r="B99" s="45">
        <v>45971.409131944398</v>
      </c>
      <c r="C99" s="39">
        <v>2</v>
      </c>
      <c r="D99" s="41">
        <v>22.2</v>
      </c>
      <c r="E99" s="39" t="str">
        <f t="shared" si="4"/>
        <v>CUST0103</v>
      </c>
      <c r="F99" s="40">
        <f t="shared" ca="1" si="5"/>
        <v>329.59086805560219</v>
      </c>
      <c r="G99" s="39">
        <f t="shared" si="6"/>
        <v>2</v>
      </c>
      <c r="H99" s="41">
        <f t="shared" si="7"/>
        <v>22.2</v>
      </c>
    </row>
    <row r="100" spans="1:8">
      <c r="A100" s="39" t="s">
        <v>94</v>
      </c>
      <c r="B100" s="45">
        <v>46281.409131944398</v>
      </c>
      <c r="C100" s="39">
        <v>6</v>
      </c>
      <c r="D100" s="41">
        <v>164.74</v>
      </c>
      <c r="E100" s="39" t="str">
        <f t="shared" si="4"/>
        <v>CUST0104</v>
      </c>
      <c r="F100" s="40">
        <f t="shared" ca="1" si="5"/>
        <v>19.590868055602186</v>
      </c>
      <c r="G100" s="39">
        <f t="shared" si="6"/>
        <v>6</v>
      </c>
      <c r="H100" s="41">
        <f t="shared" si="7"/>
        <v>164.74</v>
      </c>
    </row>
    <row r="101" spans="1:8">
      <c r="A101" s="39" t="s">
        <v>723</v>
      </c>
      <c r="B101" s="45">
        <v>46035.409131944398</v>
      </c>
      <c r="C101" s="39">
        <v>2</v>
      </c>
      <c r="D101" s="41">
        <v>19.489999999999998</v>
      </c>
      <c r="E101" s="39" t="str">
        <f t="shared" si="4"/>
        <v>CUST0105</v>
      </c>
      <c r="F101" s="40">
        <f t="shared" ca="1" si="5"/>
        <v>265.59086805560219</v>
      </c>
      <c r="G101" s="39">
        <f t="shared" si="6"/>
        <v>2</v>
      </c>
      <c r="H101" s="41">
        <f t="shared" si="7"/>
        <v>19.489999999999998</v>
      </c>
    </row>
    <row r="102" spans="1:8">
      <c r="A102" s="39" t="s">
        <v>217</v>
      </c>
      <c r="B102" s="45">
        <v>46265.409131944398</v>
      </c>
      <c r="C102" s="39">
        <v>3</v>
      </c>
      <c r="D102" s="41">
        <v>91.44</v>
      </c>
      <c r="E102" s="39" t="str">
        <f t="shared" si="4"/>
        <v>CUST0106</v>
      </c>
      <c r="F102" s="40">
        <f t="shared" ca="1" si="5"/>
        <v>35.590868055602186</v>
      </c>
      <c r="G102" s="39">
        <f t="shared" si="6"/>
        <v>3</v>
      </c>
      <c r="H102" s="41">
        <f t="shared" si="7"/>
        <v>91.44</v>
      </c>
    </row>
    <row r="103" spans="1:8">
      <c r="A103" s="39" t="s">
        <v>687</v>
      </c>
      <c r="B103" s="45">
        <v>46174.409131944398</v>
      </c>
      <c r="C103" s="39">
        <v>3</v>
      </c>
      <c r="D103" s="41">
        <v>29.13</v>
      </c>
      <c r="E103" s="39" t="str">
        <f t="shared" si="4"/>
        <v>CUST0107</v>
      </c>
      <c r="F103" s="40">
        <f t="shared" ca="1" si="5"/>
        <v>126.59086805560219</v>
      </c>
      <c r="G103" s="39">
        <f t="shared" si="6"/>
        <v>3</v>
      </c>
      <c r="H103" s="41">
        <f t="shared" si="7"/>
        <v>29.13</v>
      </c>
    </row>
    <row r="104" spans="1:8">
      <c r="A104" s="39" t="s">
        <v>555</v>
      </c>
      <c r="B104" s="45">
        <v>46220.409131944398</v>
      </c>
      <c r="C104" s="39">
        <v>6</v>
      </c>
      <c r="D104" s="41">
        <v>72.05</v>
      </c>
      <c r="E104" s="39" t="str">
        <f t="shared" si="4"/>
        <v>CUST0108</v>
      </c>
      <c r="F104" s="40">
        <f t="shared" ca="1" si="5"/>
        <v>80.590868055602186</v>
      </c>
      <c r="G104" s="39">
        <f t="shared" si="6"/>
        <v>6</v>
      </c>
      <c r="H104" s="41">
        <f t="shared" si="7"/>
        <v>72.05</v>
      </c>
    </row>
    <row r="105" spans="1:8">
      <c r="A105" s="39" t="s">
        <v>458</v>
      </c>
      <c r="B105" s="45">
        <v>45972.409131944398</v>
      </c>
      <c r="C105" s="39">
        <v>1</v>
      </c>
      <c r="D105" s="41">
        <v>8.01</v>
      </c>
      <c r="E105" s="39" t="str">
        <f t="shared" si="4"/>
        <v>CUST0109</v>
      </c>
      <c r="F105" s="40">
        <f t="shared" ca="1" si="5"/>
        <v>328.59086805560219</v>
      </c>
      <c r="G105" s="39">
        <f t="shared" si="6"/>
        <v>1</v>
      </c>
      <c r="H105" s="41">
        <f t="shared" si="7"/>
        <v>8.01</v>
      </c>
    </row>
    <row r="106" spans="1:8">
      <c r="A106" s="39" t="s">
        <v>236</v>
      </c>
      <c r="B106" s="45">
        <v>46209.409131944398</v>
      </c>
      <c r="C106" s="39">
        <v>2</v>
      </c>
      <c r="D106" s="41">
        <v>52.1</v>
      </c>
      <c r="E106" s="39" t="str">
        <f t="shared" si="4"/>
        <v>CUST0110</v>
      </c>
      <c r="F106" s="40">
        <f t="shared" ca="1" si="5"/>
        <v>91.590868055602186</v>
      </c>
      <c r="G106" s="39">
        <f t="shared" si="6"/>
        <v>2</v>
      </c>
      <c r="H106" s="41">
        <f t="shared" si="7"/>
        <v>52.1</v>
      </c>
    </row>
    <row r="107" spans="1:8">
      <c r="A107" s="39" t="s">
        <v>130</v>
      </c>
      <c r="B107" s="45">
        <v>46295.409131944398</v>
      </c>
      <c r="C107" s="39">
        <v>5</v>
      </c>
      <c r="D107" s="41">
        <v>108.18</v>
      </c>
      <c r="E107" s="39" t="str">
        <f t="shared" si="4"/>
        <v>CUST0111</v>
      </c>
      <c r="F107" s="40">
        <f t="shared" ca="1" si="5"/>
        <v>5.5908680556021864</v>
      </c>
      <c r="G107" s="39">
        <f t="shared" si="6"/>
        <v>5</v>
      </c>
      <c r="H107" s="41">
        <f t="shared" si="7"/>
        <v>108.18</v>
      </c>
    </row>
    <row r="108" spans="1:8">
      <c r="A108" s="39" t="s">
        <v>391</v>
      </c>
      <c r="B108" s="45">
        <v>46190.409131944398</v>
      </c>
      <c r="C108" s="39">
        <v>1</v>
      </c>
      <c r="D108" s="41">
        <v>11.81</v>
      </c>
      <c r="E108" s="39" t="str">
        <f t="shared" si="4"/>
        <v>CUST0112</v>
      </c>
      <c r="F108" s="40">
        <f t="shared" ca="1" si="5"/>
        <v>110.59086805560219</v>
      </c>
      <c r="G108" s="39">
        <f t="shared" si="6"/>
        <v>1</v>
      </c>
      <c r="H108" s="41">
        <f t="shared" si="7"/>
        <v>11.81</v>
      </c>
    </row>
    <row r="109" spans="1:8">
      <c r="A109" s="39" t="s">
        <v>325</v>
      </c>
      <c r="B109" s="45">
        <v>46253.409131944398</v>
      </c>
      <c r="C109" s="39">
        <v>3</v>
      </c>
      <c r="D109" s="41">
        <v>36.65</v>
      </c>
      <c r="E109" s="39" t="str">
        <f t="shared" si="4"/>
        <v>CUST0113</v>
      </c>
      <c r="F109" s="40">
        <f t="shared" ca="1" si="5"/>
        <v>47.590868055602186</v>
      </c>
      <c r="G109" s="39">
        <f t="shared" si="6"/>
        <v>3</v>
      </c>
      <c r="H109" s="41">
        <f t="shared" si="7"/>
        <v>36.65</v>
      </c>
    </row>
    <row r="110" spans="1:8">
      <c r="A110" s="39" t="s">
        <v>327</v>
      </c>
      <c r="B110" s="45">
        <v>46215.409131944398</v>
      </c>
      <c r="C110" s="39">
        <v>3</v>
      </c>
      <c r="D110" s="41">
        <v>57.95</v>
      </c>
      <c r="E110" s="39" t="str">
        <f t="shared" si="4"/>
        <v>CUST0114</v>
      </c>
      <c r="F110" s="40">
        <f t="shared" ca="1" si="5"/>
        <v>85.590868055602186</v>
      </c>
      <c r="G110" s="39">
        <f t="shared" si="6"/>
        <v>3</v>
      </c>
      <c r="H110" s="41">
        <f t="shared" si="7"/>
        <v>57.95</v>
      </c>
    </row>
    <row r="111" spans="1:8">
      <c r="A111" s="39" t="s">
        <v>177</v>
      </c>
      <c r="B111" s="45">
        <v>46202.409131944398</v>
      </c>
      <c r="C111" s="39">
        <v>3</v>
      </c>
      <c r="D111" s="41">
        <v>52.66</v>
      </c>
      <c r="E111" s="39" t="str">
        <f t="shared" si="4"/>
        <v>CUST0115</v>
      </c>
      <c r="F111" s="40">
        <f t="shared" ca="1" si="5"/>
        <v>98.590868055602186</v>
      </c>
      <c r="G111" s="39">
        <f t="shared" si="6"/>
        <v>3</v>
      </c>
      <c r="H111" s="41">
        <f t="shared" si="7"/>
        <v>52.66</v>
      </c>
    </row>
    <row r="112" spans="1:8">
      <c r="A112" s="39" t="s">
        <v>952</v>
      </c>
      <c r="B112" s="45">
        <v>46168.409131944398</v>
      </c>
      <c r="C112" s="39">
        <v>1</v>
      </c>
      <c r="D112" s="41">
        <v>4.38</v>
      </c>
      <c r="E112" s="39" t="str">
        <f t="shared" si="4"/>
        <v>CUST0116</v>
      </c>
      <c r="F112" s="40">
        <f t="shared" ca="1" si="5"/>
        <v>132.59086805560219</v>
      </c>
      <c r="G112" s="39">
        <f t="shared" si="6"/>
        <v>1</v>
      </c>
      <c r="H112" s="41">
        <f t="shared" si="7"/>
        <v>4.38</v>
      </c>
    </row>
    <row r="113" spans="1:8">
      <c r="A113" s="39" t="s">
        <v>248</v>
      </c>
      <c r="B113" s="45">
        <v>46286.409131944398</v>
      </c>
      <c r="C113" s="39">
        <v>7</v>
      </c>
      <c r="D113" s="41">
        <v>150.87</v>
      </c>
      <c r="E113" s="39" t="str">
        <f t="shared" si="4"/>
        <v>CUST0117</v>
      </c>
      <c r="F113" s="40">
        <f t="shared" ca="1" si="5"/>
        <v>14.590868055602186</v>
      </c>
      <c r="G113" s="39">
        <f t="shared" si="6"/>
        <v>7</v>
      </c>
      <c r="H113" s="41">
        <f t="shared" si="7"/>
        <v>150.87</v>
      </c>
    </row>
    <row r="114" spans="1:8">
      <c r="A114" s="39" t="s">
        <v>153</v>
      </c>
      <c r="B114" s="45">
        <v>46219.409131944398</v>
      </c>
      <c r="C114" s="39">
        <v>4</v>
      </c>
      <c r="D114" s="41">
        <v>46.04</v>
      </c>
      <c r="E114" s="39" t="str">
        <f t="shared" si="4"/>
        <v>CUST0118</v>
      </c>
      <c r="F114" s="40">
        <f t="shared" ca="1" si="5"/>
        <v>81.590868055602186</v>
      </c>
      <c r="G114" s="39">
        <f t="shared" si="6"/>
        <v>4</v>
      </c>
      <c r="H114" s="41">
        <f t="shared" si="7"/>
        <v>46.04</v>
      </c>
    </row>
    <row r="115" spans="1:8">
      <c r="A115" s="39" t="s">
        <v>409</v>
      </c>
      <c r="B115" s="45">
        <v>46247.409131944398</v>
      </c>
      <c r="C115" s="39">
        <v>5</v>
      </c>
      <c r="D115" s="41">
        <v>106.08</v>
      </c>
      <c r="E115" s="39" t="str">
        <f t="shared" si="4"/>
        <v>CUST0119</v>
      </c>
      <c r="F115" s="40">
        <f t="shared" ca="1" si="5"/>
        <v>53.590868055602186</v>
      </c>
      <c r="G115" s="39">
        <f t="shared" si="6"/>
        <v>5</v>
      </c>
      <c r="H115" s="41">
        <f t="shared" si="7"/>
        <v>106.08</v>
      </c>
    </row>
    <row r="116" spans="1:8">
      <c r="A116" s="39" t="s">
        <v>374</v>
      </c>
      <c r="B116" s="45">
        <v>46277.409131944398</v>
      </c>
      <c r="C116" s="39">
        <v>5</v>
      </c>
      <c r="D116" s="41">
        <v>88.56</v>
      </c>
      <c r="E116" s="39" t="str">
        <f t="shared" si="4"/>
        <v>CUST0120</v>
      </c>
      <c r="F116" s="40">
        <f t="shared" ca="1" si="5"/>
        <v>23.590868055602186</v>
      </c>
      <c r="G116" s="39">
        <f t="shared" si="6"/>
        <v>5</v>
      </c>
      <c r="H116" s="41">
        <f t="shared" si="7"/>
        <v>88.56</v>
      </c>
    </row>
    <row r="117" spans="1:8">
      <c r="A117" s="39" t="s">
        <v>1089</v>
      </c>
      <c r="B117" s="45">
        <v>46184.409131944398</v>
      </c>
      <c r="C117" s="39">
        <v>2</v>
      </c>
      <c r="D117" s="41">
        <v>44.73</v>
      </c>
      <c r="E117" s="39" t="str">
        <f t="shared" si="4"/>
        <v>CUST0121</v>
      </c>
      <c r="F117" s="40">
        <f t="shared" ca="1" si="5"/>
        <v>116.59086805560219</v>
      </c>
      <c r="G117" s="39">
        <f t="shared" si="6"/>
        <v>2</v>
      </c>
      <c r="H117" s="41">
        <f t="shared" si="7"/>
        <v>44.73</v>
      </c>
    </row>
    <row r="118" spans="1:8">
      <c r="A118" s="39" t="s">
        <v>493</v>
      </c>
      <c r="B118" s="45">
        <v>46245.409131944398</v>
      </c>
      <c r="C118" s="39">
        <v>3</v>
      </c>
      <c r="D118" s="41">
        <v>45.87</v>
      </c>
      <c r="E118" s="39" t="str">
        <f t="shared" si="4"/>
        <v>CUST0122</v>
      </c>
      <c r="F118" s="40">
        <f t="shared" ca="1" si="5"/>
        <v>55.590868055602186</v>
      </c>
      <c r="G118" s="39">
        <f t="shared" si="6"/>
        <v>3</v>
      </c>
      <c r="H118" s="41">
        <f t="shared" si="7"/>
        <v>45.87</v>
      </c>
    </row>
    <row r="119" spans="1:8">
      <c r="A119" s="39" t="s">
        <v>151</v>
      </c>
      <c r="B119" s="45">
        <v>46239.409131944398</v>
      </c>
      <c r="C119" s="39">
        <v>3</v>
      </c>
      <c r="D119" s="41">
        <v>59.82</v>
      </c>
      <c r="E119" s="39" t="str">
        <f t="shared" si="4"/>
        <v>CUST0123</v>
      </c>
      <c r="F119" s="40">
        <f t="shared" ca="1" si="5"/>
        <v>61.590868055602186</v>
      </c>
      <c r="G119" s="39">
        <f t="shared" si="6"/>
        <v>3</v>
      </c>
      <c r="H119" s="41">
        <f t="shared" si="7"/>
        <v>59.82</v>
      </c>
    </row>
    <row r="120" spans="1:8">
      <c r="A120" s="39" t="s">
        <v>736</v>
      </c>
      <c r="B120" s="45">
        <v>46115.409131944398</v>
      </c>
      <c r="C120" s="39">
        <v>2</v>
      </c>
      <c r="D120" s="41">
        <v>27.5</v>
      </c>
      <c r="E120" s="39" t="str">
        <f t="shared" si="4"/>
        <v>CUST0124</v>
      </c>
      <c r="F120" s="40">
        <f t="shared" ca="1" si="5"/>
        <v>185.59086805560219</v>
      </c>
      <c r="G120" s="39">
        <f t="shared" si="6"/>
        <v>2</v>
      </c>
      <c r="H120" s="41">
        <f t="shared" si="7"/>
        <v>27.5</v>
      </c>
    </row>
    <row r="121" spans="1:8">
      <c r="A121" s="39" t="s">
        <v>102</v>
      </c>
      <c r="B121" s="45">
        <v>46102.409131944398</v>
      </c>
      <c r="C121" s="39">
        <v>3</v>
      </c>
      <c r="D121" s="41">
        <v>41.38</v>
      </c>
      <c r="E121" s="39" t="str">
        <f t="shared" si="4"/>
        <v>CUST0125</v>
      </c>
      <c r="F121" s="40">
        <f t="shared" ca="1" si="5"/>
        <v>198.59086805560219</v>
      </c>
      <c r="G121" s="39">
        <f t="shared" si="6"/>
        <v>3</v>
      </c>
      <c r="H121" s="41">
        <f t="shared" si="7"/>
        <v>41.38</v>
      </c>
    </row>
    <row r="122" spans="1:8">
      <c r="A122" s="39" t="s">
        <v>1122</v>
      </c>
      <c r="B122" s="45">
        <v>46119.409131944398</v>
      </c>
      <c r="C122" s="39">
        <v>2</v>
      </c>
      <c r="D122" s="41">
        <v>20.420000000000002</v>
      </c>
      <c r="E122" s="39" t="str">
        <f t="shared" si="4"/>
        <v>CUST0126</v>
      </c>
      <c r="F122" s="40">
        <f t="shared" ca="1" si="5"/>
        <v>181.59086805560219</v>
      </c>
      <c r="G122" s="39">
        <f t="shared" si="6"/>
        <v>2</v>
      </c>
      <c r="H122" s="41">
        <f t="shared" si="7"/>
        <v>20.420000000000002</v>
      </c>
    </row>
    <row r="123" spans="1:8">
      <c r="A123" s="39" t="s">
        <v>215</v>
      </c>
      <c r="B123" s="45">
        <v>46163.409131944398</v>
      </c>
      <c r="C123" s="39">
        <v>2</v>
      </c>
      <c r="D123" s="41">
        <v>23.58</v>
      </c>
      <c r="E123" s="39" t="str">
        <f t="shared" si="4"/>
        <v>CUST0127</v>
      </c>
      <c r="F123" s="40">
        <f t="shared" ca="1" si="5"/>
        <v>137.59086805560219</v>
      </c>
      <c r="G123" s="39">
        <f t="shared" si="6"/>
        <v>2</v>
      </c>
      <c r="H123" s="41">
        <f t="shared" si="7"/>
        <v>23.58</v>
      </c>
    </row>
    <row r="124" spans="1:8">
      <c r="A124" s="39" t="s">
        <v>266</v>
      </c>
      <c r="B124" s="45">
        <v>46273.409131944398</v>
      </c>
      <c r="C124" s="39">
        <v>3</v>
      </c>
      <c r="D124" s="41">
        <v>53.66</v>
      </c>
      <c r="E124" s="39" t="str">
        <f t="shared" si="4"/>
        <v>CUST0128</v>
      </c>
      <c r="F124" s="40">
        <f t="shared" ca="1" si="5"/>
        <v>27.590868055602186</v>
      </c>
      <c r="G124" s="39">
        <f t="shared" si="6"/>
        <v>3</v>
      </c>
      <c r="H124" s="41">
        <f t="shared" si="7"/>
        <v>53.66</v>
      </c>
    </row>
    <row r="125" spans="1:8">
      <c r="A125" s="39" t="s">
        <v>542</v>
      </c>
      <c r="B125" s="45">
        <v>46155.409131944398</v>
      </c>
      <c r="C125" s="39">
        <v>3</v>
      </c>
      <c r="D125" s="41">
        <v>46.1</v>
      </c>
      <c r="E125" s="39" t="str">
        <f t="shared" si="4"/>
        <v>CUST0129</v>
      </c>
      <c r="F125" s="40">
        <f t="shared" ca="1" si="5"/>
        <v>145.59086805560219</v>
      </c>
      <c r="G125" s="39">
        <f t="shared" si="6"/>
        <v>3</v>
      </c>
      <c r="H125" s="41">
        <f t="shared" si="7"/>
        <v>46.1</v>
      </c>
    </row>
    <row r="126" spans="1:8">
      <c r="A126" s="39" t="s">
        <v>28</v>
      </c>
      <c r="B126" s="45">
        <v>46150.409131944398</v>
      </c>
      <c r="C126" s="39">
        <v>6</v>
      </c>
      <c r="D126" s="41">
        <v>70.78</v>
      </c>
      <c r="E126" s="39" t="str">
        <f t="shared" si="4"/>
        <v>CUST0130</v>
      </c>
      <c r="F126" s="40">
        <f t="shared" ca="1" si="5"/>
        <v>150.59086805560219</v>
      </c>
      <c r="G126" s="39">
        <f t="shared" si="6"/>
        <v>6</v>
      </c>
      <c r="H126" s="41">
        <f t="shared" si="7"/>
        <v>70.78</v>
      </c>
    </row>
    <row r="127" spans="1:8">
      <c r="A127" s="39" t="s">
        <v>337</v>
      </c>
      <c r="B127" s="45">
        <v>46289.409131944398</v>
      </c>
      <c r="C127" s="39">
        <v>5</v>
      </c>
      <c r="D127" s="41">
        <v>131.69</v>
      </c>
      <c r="E127" s="39" t="str">
        <f t="shared" si="4"/>
        <v>CUST0131</v>
      </c>
      <c r="F127" s="40">
        <f t="shared" ca="1" si="5"/>
        <v>11.590868055602186</v>
      </c>
      <c r="G127" s="39">
        <f t="shared" si="6"/>
        <v>5</v>
      </c>
      <c r="H127" s="41">
        <f t="shared" si="7"/>
        <v>131.69</v>
      </c>
    </row>
    <row r="128" spans="1:8">
      <c r="A128" s="39" t="s">
        <v>82</v>
      </c>
      <c r="B128" s="45">
        <v>46224.409131944398</v>
      </c>
      <c r="C128" s="39">
        <v>4</v>
      </c>
      <c r="D128" s="41">
        <v>65.010000000000005</v>
      </c>
      <c r="E128" s="39" t="str">
        <f t="shared" si="4"/>
        <v>CUST0132</v>
      </c>
      <c r="F128" s="40">
        <f t="shared" ca="1" si="5"/>
        <v>76.590868055602186</v>
      </c>
      <c r="G128" s="39">
        <f t="shared" si="6"/>
        <v>4</v>
      </c>
      <c r="H128" s="41">
        <f t="shared" si="7"/>
        <v>65.010000000000005</v>
      </c>
    </row>
    <row r="129" spans="1:8">
      <c r="A129" s="39" t="s">
        <v>211</v>
      </c>
      <c r="B129" s="45">
        <v>46263.409131944398</v>
      </c>
      <c r="C129" s="39">
        <v>4</v>
      </c>
      <c r="D129" s="41">
        <v>57.97</v>
      </c>
      <c r="E129" s="39" t="str">
        <f t="shared" si="4"/>
        <v>CUST0133</v>
      </c>
      <c r="F129" s="40">
        <f t="shared" ca="1" si="5"/>
        <v>37.590868055602186</v>
      </c>
      <c r="G129" s="39">
        <f t="shared" si="6"/>
        <v>4</v>
      </c>
      <c r="H129" s="41">
        <f t="shared" si="7"/>
        <v>57.97</v>
      </c>
    </row>
    <row r="130" spans="1:8">
      <c r="A130" s="39" t="s">
        <v>122</v>
      </c>
      <c r="B130" s="45">
        <v>46199.409131944398</v>
      </c>
      <c r="C130" s="39">
        <v>4</v>
      </c>
      <c r="D130" s="41">
        <v>53.77</v>
      </c>
      <c r="E130" s="39" t="str">
        <f t="shared" si="4"/>
        <v>CUST0134</v>
      </c>
      <c r="F130" s="40">
        <f t="shared" ca="1" si="5"/>
        <v>101.59086805560219</v>
      </c>
      <c r="G130" s="39">
        <f t="shared" si="6"/>
        <v>4</v>
      </c>
      <c r="H130" s="41">
        <f t="shared" si="7"/>
        <v>53.77</v>
      </c>
    </row>
    <row r="131" spans="1:8">
      <c r="A131" s="39" t="s">
        <v>167</v>
      </c>
      <c r="B131" s="45">
        <v>46273.409131944398</v>
      </c>
      <c r="C131" s="39">
        <v>3</v>
      </c>
      <c r="D131" s="41">
        <v>52.02</v>
      </c>
      <c r="E131" s="39" t="str">
        <f t="shared" si="4"/>
        <v>CUST0136</v>
      </c>
      <c r="F131" s="40">
        <f t="shared" ca="1" si="5"/>
        <v>27.590868055602186</v>
      </c>
      <c r="G131" s="39">
        <f t="shared" si="6"/>
        <v>3</v>
      </c>
      <c r="H131" s="41">
        <f t="shared" si="7"/>
        <v>52.02</v>
      </c>
    </row>
    <row r="132" spans="1:8">
      <c r="A132" s="39" t="s">
        <v>49</v>
      </c>
      <c r="B132" s="45">
        <v>46294.409131944398</v>
      </c>
      <c r="C132" s="39">
        <v>4</v>
      </c>
      <c r="D132" s="41">
        <v>34.4</v>
      </c>
      <c r="E132" s="39" t="str">
        <f t="shared" ref="E132:E195" si="8">A132</f>
        <v>CUST0137</v>
      </c>
      <c r="F132" s="40">
        <f t="shared" ref="F132:F195" ca="1" si="9">TODAY()-B132</f>
        <v>6.5908680556021864</v>
      </c>
      <c r="G132" s="39">
        <f t="shared" ref="G132:G195" si="10">C132</f>
        <v>4</v>
      </c>
      <c r="H132" s="41">
        <f t="shared" ref="H132:H195" si="11">D132</f>
        <v>34.4</v>
      </c>
    </row>
    <row r="133" spans="1:8">
      <c r="A133" s="39" t="s">
        <v>20</v>
      </c>
      <c r="B133" s="45">
        <v>46124.409131944398</v>
      </c>
      <c r="C133" s="39">
        <v>1</v>
      </c>
      <c r="D133" s="41">
        <v>15.44</v>
      </c>
      <c r="E133" s="39" t="str">
        <f t="shared" si="8"/>
        <v>CUST0138</v>
      </c>
      <c r="F133" s="40">
        <f t="shared" ca="1" si="9"/>
        <v>176.59086805560219</v>
      </c>
      <c r="G133" s="39">
        <f t="shared" si="10"/>
        <v>1</v>
      </c>
      <c r="H133" s="41">
        <f t="shared" si="11"/>
        <v>15.44</v>
      </c>
    </row>
    <row r="134" spans="1:8">
      <c r="A134" s="39" t="s">
        <v>665</v>
      </c>
      <c r="B134" s="45">
        <v>46093.409131944398</v>
      </c>
      <c r="C134" s="39">
        <v>1</v>
      </c>
      <c r="D134" s="41">
        <v>27.37</v>
      </c>
      <c r="E134" s="39" t="str">
        <f t="shared" si="8"/>
        <v>CUST0140</v>
      </c>
      <c r="F134" s="40">
        <f t="shared" ca="1" si="9"/>
        <v>207.59086805560219</v>
      </c>
      <c r="G134" s="39">
        <f t="shared" si="10"/>
        <v>1</v>
      </c>
      <c r="H134" s="41">
        <f t="shared" si="11"/>
        <v>27.37</v>
      </c>
    </row>
    <row r="135" spans="1:8">
      <c r="A135" s="39" t="s">
        <v>202</v>
      </c>
      <c r="B135" s="45">
        <v>46266.409131944398</v>
      </c>
      <c r="C135" s="39">
        <v>5</v>
      </c>
      <c r="D135" s="41">
        <v>35.08</v>
      </c>
      <c r="E135" s="39" t="str">
        <f t="shared" si="8"/>
        <v>CUST0141</v>
      </c>
      <c r="F135" s="40">
        <f t="shared" ca="1" si="9"/>
        <v>34.590868055602186</v>
      </c>
      <c r="G135" s="39">
        <f t="shared" si="10"/>
        <v>5</v>
      </c>
      <c r="H135" s="41">
        <f t="shared" si="11"/>
        <v>35.08</v>
      </c>
    </row>
    <row r="136" spans="1:8">
      <c r="A136" s="39" t="s">
        <v>657</v>
      </c>
      <c r="B136" s="45">
        <v>46290.409131944398</v>
      </c>
      <c r="C136" s="39">
        <v>2</v>
      </c>
      <c r="D136" s="41">
        <v>40.78</v>
      </c>
      <c r="E136" s="39" t="str">
        <f t="shared" si="8"/>
        <v>CUST0142</v>
      </c>
      <c r="F136" s="40">
        <f t="shared" ca="1" si="9"/>
        <v>10.590868055602186</v>
      </c>
      <c r="G136" s="39">
        <f t="shared" si="10"/>
        <v>2</v>
      </c>
      <c r="H136" s="41">
        <f t="shared" si="11"/>
        <v>40.78</v>
      </c>
    </row>
    <row r="137" spans="1:8">
      <c r="A137" s="39" t="s">
        <v>108</v>
      </c>
      <c r="B137" s="45">
        <v>46251.409131944398</v>
      </c>
      <c r="C137" s="39">
        <v>6</v>
      </c>
      <c r="D137" s="41">
        <v>170.41</v>
      </c>
      <c r="E137" s="39" t="str">
        <f t="shared" si="8"/>
        <v>CUST0143</v>
      </c>
      <c r="F137" s="40">
        <f t="shared" ca="1" si="9"/>
        <v>49.590868055602186</v>
      </c>
      <c r="G137" s="39">
        <f t="shared" si="10"/>
        <v>6</v>
      </c>
      <c r="H137" s="41">
        <f t="shared" si="11"/>
        <v>170.41</v>
      </c>
    </row>
    <row r="138" spans="1:8">
      <c r="A138" s="39" t="s">
        <v>313</v>
      </c>
      <c r="B138" s="45">
        <v>46217.409131944398</v>
      </c>
      <c r="C138" s="39">
        <v>2</v>
      </c>
      <c r="D138" s="41">
        <v>16.04</v>
      </c>
      <c r="E138" s="39" t="str">
        <f t="shared" si="8"/>
        <v>CUST0144</v>
      </c>
      <c r="F138" s="40">
        <f t="shared" ca="1" si="9"/>
        <v>83.590868055602186</v>
      </c>
      <c r="G138" s="39">
        <f t="shared" si="10"/>
        <v>2</v>
      </c>
      <c r="H138" s="41">
        <f t="shared" si="11"/>
        <v>16.04</v>
      </c>
    </row>
    <row r="139" spans="1:8">
      <c r="A139" s="39" t="s">
        <v>112</v>
      </c>
      <c r="B139" s="45">
        <v>46177.409131944398</v>
      </c>
      <c r="C139" s="39">
        <v>5</v>
      </c>
      <c r="D139" s="41">
        <v>85.98</v>
      </c>
      <c r="E139" s="39" t="str">
        <f t="shared" si="8"/>
        <v>CUST0145</v>
      </c>
      <c r="F139" s="40">
        <f t="shared" ca="1" si="9"/>
        <v>123.59086805560219</v>
      </c>
      <c r="G139" s="39">
        <f t="shared" si="10"/>
        <v>5</v>
      </c>
      <c r="H139" s="41">
        <f t="shared" si="11"/>
        <v>85.98</v>
      </c>
    </row>
    <row r="140" spans="1:8">
      <c r="A140" s="39" t="s">
        <v>465</v>
      </c>
      <c r="B140" s="45">
        <v>46250.409131944398</v>
      </c>
      <c r="C140" s="39">
        <v>4</v>
      </c>
      <c r="D140" s="41">
        <v>64.989999999999995</v>
      </c>
      <c r="E140" s="39" t="str">
        <f t="shared" si="8"/>
        <v>CUST0146</v>
      </c>
      <c r="F140" s="40">
        <f t="shared" ca="1" si="9"/>
        <v>50.590868055602186</v>
      </c>
      <c r="G140" s="39">
        <f t="shared" si="10"/>
        <v>4</v>
      </c>
      <c r="H140" s="41">
        <f t="shared" si="11"/>
        <v>64.989999999999995</v>
      </c>
    </row>
    <row r="141" spans="1:8">
      <c r="A141" s="39" t="s">
        <v>389</v>
      </c>
      <c r="B141" s="45">
        <v>46203.409131944398</v>
      </c>
      <c r="C141" s="39">
        <v>5</v>
      </c>
      <c r="D141" s="41">
        <v>98.48</v>
      </c>
      <c r="E141" s="39" t="str">
        <f t="shared" si="8"/>
        <v>CUST0147</v>
      </c>
      <c r="F141" s="40">
        <f t="shared" ca="1" si="9"/>
        <v>97.590868055602186</v>
      </c>
      <c r="G141" s="39">
        <f t="shared" si="10"/>
        <v>5</v>
      </c>
      <c r="H141" s="41">
        <f t="shared" si="11"/>
        <v>98.48</v>
      </c>
    </row>
    <row r="142" spans="1:8">
      <c r="A142" s="39" t="s">
        <v>190</v>
      </c>
      <c r="B142" s="45">
        <v>46279.409131944398</v>
      </c>
      <c r="C142" s="39">
        <v>5</v>
      </c>
      <c r="D142" s="41">
        <v>90.62</v>
      </c>
      <c r="E142" s="39" t="str">
        <f t="shared" si="8"/>
        <v>CUST0148</v>
      </c>
      <c r="F142" s="40">
        <f t="shared" ca="1" si="9"/>
        <v>21.590868055602186</v>
      </c>
      <c r="G142" s="39">
        <f t="shared" si="10"/>
        <v>5</v>
      </c>
      <c r="H142" s="41">
        <f t="shared" si="11"/>
        <v>90.62</v>
      </c>
    </row>
    <row r="143" spans="1:8">
      <c r="A143" s="39" t="s">
        <v>243</v>
      </c>
      <c r="B143" s="45">
        <v>46255.409131944398</v>
      </c>
      <c r="C143" s="39">
        <v>4</v>
      </c>
      <c r="D143" s="41">
        <v>61.65</v>
      </c>
      <c r="E143" s="39" t="str">
        <f t="shared" si="8"/>
        <v>CUST0149</v>
      </c>
      <c r="F143" s="40">
        <f t="shared" ca="1" si="9"/>
        <v>45.590868055602186</v>
      </c>
      <c r="G143" s="39">
        <f t="shared" si="10"/>
        <v>4</v>
      </c>
      <c r="H143" s="41">
        <f t="shared" si="11"/>
        <v>61.65</v>
      </c>
    </row>
    <row r="144" spans="1:8">
      <c r="A144" s="39" t="s">
        <v>284</v>
      </c>
      <c r="B144" s="45">
        <v>46054.409131944398</v>
      </c>
      <c r="C144" s="39">
        <v>3</v>
      </c>
      <c r="D144" s="41">
        <v>90.49</v>
      </c>
      <c r="E144" s="39" t="str">
        <f t="shared" si="8"/>
        <v>CUST0150</v>
      </c>
      <c r="F144" s="40">
        <f t="shared" ca="1" si="9"/>
        <v>246.59086805560219</v>
      </c>
      <c r="G144" s="39">
        <f t="shared" si="10"/>
        <v>3</v>
      </c>
      <c r="H144" s="41">
        <f t="shared" si="11"/>
        <v>90.49</v>
      </c>
    </row>
    <row r="145" spans="1:8">
      <c r="A145" s="39" t="s">
        <v>385</v>
      </c>
      <c r="B145" s="45">
        <v>46138.409131944398</v>
      </c>
      <c r="C145" s="39">
        <v>2</v>
      </c>
      <c r="D145" s="41">
        <v>21.74</v>
      </c>
      <c r="E145" s="39" t="str">
        <f t="shared" si="8"/>
        <v>CUST0151</v>
      </c>
      <c r="F145" s="40">
        <f t="shared" ca="1" si="9"/>
        <v>162.59086805560219</v>
      </c>
      <c r="G145" s="39">
        <f t="shared" si="10"/>
        <v>2</v>
      </c>
      <c r="H145" s="41">
        <f t="shared" si="11"/>
        <v>21.74</v>
      </c>
    </row>
    <row r="146" spans="1:8">
      <c r="A146" s="39" t="s">
        <v>272</v>
      </c>
      <c r="B146" s="45">
        <v>46218.409131944398</v>
      </c>
      <c r="C146" s="39">
        <v>6</v>
      </c>
      <c r="D146" s="41">
        <v>92.44</v>
      </c>
      <c r="E146" s="39" t="str">
        <f t="shared" si="8"/>
        <v>CUST0152</v>
      </c>
      <c r="F146" s="40">
        <f t="shared" ca="1" si="9"/>
        <v>82.590868055602186</v>
      </c>
      <c r="G146" s="39">
        <f t="shared" si="10"/>
        <v>6</v>
      </c>
      <c r="H146" s="41">
        <f t="shared" si="11"/>
        <v>92.44</v>
      </c>
    </row>
    <row r="147" spans="1:8">
      <c r="A147" s="39" t="s">
        <v>110</v>
      </c>
      <c r="B147" s="45">
        <v>46210.409131944398</v>
      </c>
      <c r="C147" s="39">
        <v>6</v>
      </c>
      <c r="D147" s="41">
        <v>92.68</v>
      </c>
      <c r="E147" s="39" t="str">
        <f t="shared" si="8"/>
        <v>CUST0153</v>
      </c>
      <c r="F147" s="40">
        <f t="shared" ca="1" si="9"/>
        <v>90.590868055602186</v>
      </c>
      <c r="G147" s="39">
        <f t="shared" si="10"/>
        <v>6</v>
      </c>
      <c r="H147" s="41">
        <f t="shared" si="11"/>
        <v>92.68</v>
      </c>
    </row>
    <row r="148" spans="1:8">
      <c r="A148" s="39" t="s">
        <v>250</v>
      </c>
      <c r="B148" s="45">
        <v>46240.409131944398</v>
      </c>
      <c r="C148" s="39">
        <v>7</v>
      </c>
      <c r="D148" s="41">
        <v>88.16</v>
      </c>
      <c r="E148" s="39" t="str">
        <f t="shared" si="8"/>
        <v>CUST0154</v>
      </c>
      <c r="F148" s="40">
        <f t="shared" ca="1" si="9"/>
        <v>60.590868055602186</v>
      </c>
      <c r="G148" s="39">
        <f t="shared" si="10"/>
        <v>7</v>
      </c>
      <c r="H148" s="41">
        <f t="shared" si="11"/>
        <v>88.16</v>
      </c>
    </row>
    <row r="149" spans="1:8">
      <c r="A149" s="39" t="s">
        <v>776</v>
      </c>
      <c r="B149" s="45">
        <v>46188.409131944398</v>
      </c>
      <c r="C149" s="39">
        <v>2</v>
      </c>
      <c r="D149" s="41">
        <v>33.090000000000003</v>
      </c>
      <c r="E149" s="39" t="str">
        <f t="shared" si="8"/>
        <v>CUST0155</v>
      </c>
      <c r="F149" s="40">
        <f t="shared" ca="1" si="9"/>
        <v>112.59086805560219</v>
      </c>
      <c r="G149" s="39">
        <f t="shared" si="10"/>
        <v>2</v>
      </c>
      <c r="H149" s="41">
        <f t="shared" si="11"/>
        <v>33.090000000000003</v>
      </c>
    </row>
    <row r="150" spans="1:8">
      <c r="A150" s="39" t="s">
        <v>287</v>
      </c>
      <c r="B150" s="45">
        <v>46036.409131944398</v>
      </c>
      <c r="C150" s="39">
        <v>3</v>
      </c>
      <c r="D150" s="41">
        <v>72.319999999999993</v>
      </c>
      <c r="E150" s="39" t="str">
        <f t="shared" si="8"/>
        <v>CUST0156</v>
      </c>
      <c r="F150" s="40">
        <f t="shared" ca="1" si="9"/>
        <v>264.59086805560219</v>
      </c>
      <c r="G150" s="39">
        <f t="shared" si="10"/>
        <v>3</v>
      </c>
      <c r="H150" s="41">
        <f t="shared" si="11"/>
        <v>72.319999999999993</v>
      </c>
    </row>
    <row r="151" spans="1:8">
      <c r="A151" s="39" t="s">
        <v>132</v>
      </c>
      <c r="B151" s="45">
        <v>46252.409131944398</v>
      </c>
      <c r="C151" s="39">
        <v>7</v>
      </c>
      <c r="D151" s="41">
        <v>132.83000000000001</v>
      </c>
      <c r="E151" s="39" t="str">
        <f t="shared" si="8"/>
        <v>CUST0157</v>
      </c>
      <c r="F151" s="40">
        <f t="shared" ca="1" si="9"/>
        <v>48.590868055602186</v>
      </c>
      <c r="G151" s="39">
        <f t="shared" si="10"/>
        <v>7</v>
      </c>
      <c r="H151" s="41">
        <f t="shared" si="11"/>
        <v>132.83000000000001</v>
      </c>
    </row>
    <row r="152" spans="1:8">
      <c r="A152" s="39" t="s">
        <v>309</v>
      </c>
      <c r="B152" s="45">
        <v>46246.409131944398</v>
      </c>
      <c r="C152" s="39">
        <v>5</v>
      </c>
      <c r="D152" s="41">
        <v>77.510000000000005</v>
      </c>
      <c r="E152" s="39" t="str">
        <f t="shared" si="8"/>
        <v>CUST0158</v>
      </c>
      <c r="F152" s="40">
        <f t="shared" ca="1" si="9"/>
        <v>54.590868055602186</v>
      </c>
      <c r="G152" s="39">
        <f t="shared" si="10"/>
        <v>5</v>
      </c>
      <c r="H152" s="41">
        <f t="shared" si="11"/>
        <v>77.510000000000005</v>
      </c>
    </row>
    <row r="153" spans="1:8">
      <c r="A153" s="39" t="s">
        <v>157</v>
      </c>
      <c r="B153" s="45">
        <v>46256.409131944398</v>
      </c>
      <c r="C153" s="39">
        <v>5</v>
      </c>
      <c r="D153" s="41">
        <v>85.34</v>
      </c>
      <c r="E153" s="39" t="str">
        <f t="shared" si="8"/>
        <v>CUST0159</v>
      </c>
      <c r="F153" s="40">
        <f t="shared" ca="1" si="9"/>
        <v>44.590868055602186</v>
      </c>
      <c r="G153" s="39">
        <f t="shared" si="10"/>
        <v>5</v>
      </c>
      <c r="H153" s="41">
        <f t="shared" si="11"/>
        <v>85.34</v>
      </c>
    </row>
    <row r="154" spans="1:8">
      <c r="A154" s="39" t="s">
        <v>713</v>
      </c>
      <c r="B154" s="45">
        <v>46291.409131944398</v>
      </c>
      <c r="C154" s="39">
        <v>4</v>
      </c>
      <c r="D154" s="41">
        <v>59.02</v>
      </c>
      <c r="E154" s="39" t="str">
        <f t="shared" si="8"/>
        <v>CUST0160</v>
      </c>
      <c r="F154" s="40">
        <f t="shared" ca="1" si="9"/>
        <v>9.5908680556021864</v>
      </c>
      <c r="G154" s="39">
        <f t="shared" si="10"/>
        <v>4</v>
      </c>
      <c r="H154" s="41">
        <f t="shared" si="11"/>
        <v>59.02</v>
      </c>
    </row>
    <row r="155" spans="1:8">
      <c r="A155" s="39" t="s">
        <v>9</v>
      </c>
      <c r="B155" s="45">
        <v>46284.409131944398</v>
      </c>
      <c r="C155" s="39">
        <v>8</v>
      </c>
      <c r="D155" s="41">
        <v>103.61</v>
      </c>
      <c r="E155" s="39" t="str">
        <f t="shared" si="8"/>
        <v>CUST0161</v>
      </c>
      <c r="F155" s="40">
        <f t="shared" ca="1" si="9"/>
        <v>16.590868055602186</v>
      </c>
      <c r="G155" s="39">
        <f t="shared" si="10"/>
        <v>8</v>
      </c>
      <c r="H155" s="41">
        <f t="shared" si="11"/>
        <v>103.61</v>
      </c>
    </row>
    <row r="156" spans="1:8">
      <c r="A156" s="39" t="s">
        <v>342</v>
      </c>
      <c r="B156" s="45">
        <v>46168.409131944398</v>
      </c>
      <c r="C156" s="39">
        <v>2</v>
      </c>
      <c r="D156" s="41">
        <v>14.67</v>
      </c>
      <c r="E156" s="39" t="str">
        <f t="shared" si="8"/>
        <v>CUST0162</v>
      </c>
      <c r="F156" s="40">
        <f t="shared" ca="1" si="9"/>
        <v>132.59086805560219</v>
      </c>
      <c r="G156" s="39">
        <f t="shared" si="10"/>
        <v>2</v>
      </c>
      <c r="H156" s="41">
        <f t="shared" si="11"/>
        <v>14.67</v>
      </c>
    </row>
    <row r="157" spans="1:8">
      <c r="A157" s="39" t="s">
        <v>809</v>
      </c>
      <c r="B157" s="45">
        <v>46086.409131944398</v>
      </c>
      <c r="C157" s="39">
        <v>3</v>
      </c>
      <c r="D157" s="41">
        <v>29.84</v>
      </c>
      <c r="E157" s="39" t="str">
        <f t="shared" si="8"/>
        <v>CUST0163</v>
      </c>
      <c r="F157" s="40">
        <f t="shared" ca="1" si="9"/>
        <v>214.59086805560219</v>
      </c>
      <c r="G157" s="39">
        <f t="shared" si="10"/>
        <v>3</v>
      </c>
      <c r="H157" s="41">
        <f t="shared" si="11"/>
        <v>29.84</v>
      </c>
    </row>
    <row r="158" spans="1:8">
      <c r="A158" s="39" t="s">
        <v>511</v>
      </c>
      <c r="B158" s="45">
        <v>46200.409131944398</v>
      </c>
      <c r="C158" s="39">
        <v>4</v>
      </c>
      <c r="D158" s="41">
        <v>52.29</v>
      </c>
      <c r="E158" s="39" t="str">
        <f t="shared" si="8"/>
        <v>CUST0164</v>
      </c>
      <c r="F158" s="40">
        <f t="shared" ca="1" si="9"/>
        <v>100.59086805560219</v>
      </c>
      <c r="G158" s="39">
        <f t="shared" si="10"/>
        <v>4</v>
      </c>
      <c r="H158" s="41">
        <f t="shared" si="11"/>
        <v>52.29</v>
      </c>
    </row>
    <row r="159" spans="1:8">
      <c r="A159" s="39" t="s">
        <v>74</v>
      </c>
      <c r="B159" s="45">
        <v>46182.409131944398</v>
      </c>
      <c r="C159" s="39">
        <v>4</v>
      </c>
      <c r="D159" s="41">
        <v>85.34</v>
      </c>
      <c r="E159" s="39" t="str">
        <f t="shared" si="8"/>
        <v>CUST0165</v>
      </c>
      <c r="F159" s="40">
        <f t="shared" ca="1" si="9"/>
        <v>118.59086805560219</v>
      </c>
      <c r="G159" s="39">
        <f t="shared" si="10"/>
        <v>4</v>
      </c>
      <c r="H159" s="41">
        <f t="shared" si="11"/>
        <v>85.34</v>
      </c>
    </row>
    <row r="160" spans="1:8">
      <c r="A160" s="39" t="s">
        <v>331</v>
      </c>
      <c r="B160" s="45">
        <v>46296.409131944398</v>
      </c>
      <c r="C160" s="39">
        <v>4</v>
      </c>
      <c r="D160" s="41">
        <v>137.26</v>
      </c>
      <c r="E160" s="39" t="str">
        <f t="shared" si="8"/>
        <v>CUST0166</v>
      </c>
      <c r="F160" s="40">
        <f t="shared" ca="1" si="9"/>
        <v>4.5908680556021864</v>
      </c>
      <c r="G160" s="39">
        <f t="shared" si="10"/>
        <v>4</v>
      </c>
      <c r="H160" s="41">
        <f t="shared" si="11"/>
        <v>137.26</v>
      </c>
    </row>
    <row r="161" spans="1:8">
      <c r="A161" s="39" t="s">
        <v>1280</v>
      </c>
      <c r="B161" s="45">
        <v>46053.409131944398</v>
      </c>
      <c r="C161" s="39">
        <v>1</v>
      </c>
      <c r="D161" s="41">
        <v>10.17</v>
      </c>
      <c r="E161" s="39" t="str">
        <f t="shared" si="8"/>
        <v>CUST0167</v>
      </c>
      <c r="F161" s="40">
        <f t="shared" ca="1" si="9"/>
        <v>247.59086805560219</v>
      </c>
      <c r="G161" s="39">
        <f t="shared" si="10"/>
        <v>1</v>
      </c>
      <c r="H161" s="41">
        <f t="shared" si="11"/>
        <v>10.17</v>
      </c>
    </row>
    <row r="162" spans="1:8">
      <c r="A162" s="39" t="s">
        <v>26</v>
      </c>
      <c r="B162" s="45">
        <v>46258.409131944398</v>
      </c>
      <c r="C162" s="39">
        <v>3</v>
      </c>
      <c r="D162" s="41">
        <v>58.05</v>
      </c>
      <c r="E162" s="39" t="str">
        <f t="shared" si="8"/>
        <v>CUST0168</v>
      </c>
      <c r="F162" s="40">
        <f t="shared" ca="1" si="9"/>
        <v>42.590868055602186</v>
      </c>
      <c r="G162" s="39">
        <f t="shared" si="10"/>
        <v>3</v>
      </c>
      <c r="H162" s="41">
        <f t="shared" si="11"/>
        <v>58.05</v>
      </c>
    </row>
    <row r="163" spans="1:8">
      <c r="A163" s="39" t="s">
        <v>767</v>
      </c>
      <c r="B163" s="45">
        <v>45978.409131944398</v>
      </c>
      <c r="C163" s="39">
        <v>2</v>
      </c>
      <c r="D163" s="41">
        <v>53.61</v>
      </c>
      <c r="E163" s="39" t="str">
        <f t="shared" si="8"/>
        <v>CUST0169</v>
      </c>
      <c r="F163" s="40">
        <f t="shared" ca="1" si="9"/>
        <v>322.59086805560219</v>
      </c>
      <c r="G163" s="39">
        <f t="shared" si="10"/>
        <v>2</v>
      </c>
      <c r="H163" s="41">
        <f t="shared" si="11"/>
        <v>53.61</v>
      </c>
    </row>
    <row r="164" spans="1:8">
      <c r="A164" s="39" t="s">
        <v>628</v>
      </c>
      <c r="B164" s="45">
        <v>46270.409131944398</v>
      </c>
      <c r="C164" s="39">
        <v>4</v>
      </c>
      <c r="D164" s="41">
        <v>62.59</v>
      </c>
      <c r="E164" s="39" t="str">
        <f t="shared" si="8"/>
        <v>CUST0170</v>
      </c>
      <c r="F164" s="40">
        <f t="shared" ca="1" si="9"/>
        <v>30.590868055602186</v>
      </c>
      <c r="G164" s="39">
        <f t="shared" si="10"/>
        <v>4</v>
      </c>
      <c r="H164" s="41">
        <f t="shared" si="11"/>
        <v>62.59</v>
      </c>
    </row>
    <row r="165" spans="1:8">
      <c r="A165" s="39" t="s">
        <v>209</v>
      </c>
      <c r="B165" s="45">
        <v>46223.409131944398</v>
      </c>
      <c r="C165" s="39">
        <v>3</v>
      </c>
      <c r="D165" s="41">
        <v>37.590000000000003</v>
      </c>
      <c r="E165" s="39" t="str">
        <f t="shared" si="8"/>
        <v>CUST0171</v>
      </c>
      <c r="F165" s="40">
        <f t="shared" ca="1" si="9"/>
        <v>77.590868055602186</v>
      </c>
      <c r="G165" s="39">
        <f t="shared" si="10"/>
        <v>3</v>
      </c>
      <c r="H165" s="41">
        <f t="shared" si="11"/>
        <v>37.590000000000003</v>
      </c>
    </row>
    <row r="166" spans="1:8">
      <c r="A166" s="39" t="s">
        <v>22</v>
      </c>
      <c r="B166" s="45">
        <v>46246.409131944398</v>
      </c>
      <c r="C166" s="39">
        <v>3</v>
      </c>
      <c r="D166" s="41">
        <v>61.62</v>
      </c>
      <c r="E166" s="39" t="str">
        <f t="shared" si="8"/>
        <v>CUST0172</v>
      </c>
      <c r="F166" s="40">
        <f t="shared" ca="1" si="9"/>
        <v>54.590868055602186</v>
      </c>
      <c r="G166" s="39">
        <f t="shared" si="10"/>
        <v>3</v>
      </c>
      <c r="H166" s="41">
        <f t="shared" si="11"/>
        <v>61.62</v>
      </c>
    </row>
    <row r="167" spans="1:8">
      <c r="A167" s="39" t="s">
        <v>173</v>
      </c>
      <c r="B167" s="45">
        <v>46273.409131944398</v>
      </c>
      <c r="C167" s="39">
        <v>4</v>
      </c>
      <c r="D167" s="41">
        <v>52.51</v>
      </c>
      <c r="E167" s="39" t="str">
        <f t="shared" si="8"/>
        <v>CUST0173</v>
      </c>
      <c r="F167" s="40">
        <f t="shared" ca="1" si="9"/>
        <v>27.590868055602186</v>
      </c>
      <c r="G167" s="39">
        <f t="shared" si="10"/>
        <v>4</v>
      </c>
      <c r="H167" s="41">
        <f t="shared" si="11"/>
        <v>52.51</v>
      </c>
    </row>
    <row r="168" spans="1:8">
      <c r="A168" s="39" t="s">
        <v>896</v>
      </c>
      <c r="B168" s="45">
        <v>46262.409131944398</v>
      </c>
      <c r="C168" s="39">
        <v>2</v>
      </c>
      <c r="D168" s="41">
        <v>55.1</v>
      </c>
      <c r="E168" s="39" t="str">
        <f t="shared" si="8"/>
        <v>CUST0174</v>
      </c>
      <c r="F168" s="40">
        <f t="shared" ca="1" si="9"/>
        <v>38.590868055602186</v>
      </c>
      <c r="G168" s="39">
        <f t="shared" si="10"/>
        <v>2</v>
      </c>
      <c r="H168" s="41">
        <f t="shared" si="11"/>
        <v>55.1</v>
      </c>
    </row>
    <row r="169" spans="1:8">
      <c r="A169" s="39" t="s">
        <v>321</v>
      </c>
      <c r="B169" s="45">
        <v>46270.409131944398</v>
      </c>
      <c r="C169" s="39">
        <v>6</v>
      </c>
      <c r="D169" s="41">
        <v>86.22</v>
      </c>
      <c r="E169" s="39" t="str">
        <f t="shared" si="8"/>
        <v>CUST0175</v>
      </c>
      <c r="F169" s="40">
        <f t="shared" ca="1" si="9"/>
        <v>30.590868055602186</v>
      </c>
      <c r="G169" s="39">
        <f t="shared" si="10"/>
        <v>6</v>
      </c>
      <c r="H169" s="41">
        <f t="shared" si="11"/>
        <v>86.22</v>
      </c>
    </row>
    <row r="170" spans="1:8">
      <c r="A170" s="39" t="s">
        <v>601</v>
      </c>
      <c r="B170" s="45">
        <v>46260.409131944398</v>
      </c>
      <c r="C170" s="39">
        <v>4</v>
      </c>
      <c r="D170" s="41">
        <v>107.85</v>
      </c>
      <c r="E170" s="39" t="str">
        <f t="shared" si="8"/>
        <v>CUST0176</v>
      </c>
      <c r="F170" s="40">
        <f t="shared" ca="1" si="9"/>
        <v>40.590868055602186</v>
      </c>
      <c r="G170" s="39">
        <f t="shared" si="10"/>
        <v>4</v>
      </c>
      <c r="H170" s="41">
        <f t="shared" si="11"/>
        <v>107.85</v>
      </c>
    </row>
    <row r="171" spans="1:8">
      <c r="A171" s="39" t="s">
        <v>279</v>
      </c>
      <c r="B171" s="45">
        <v>46285.409131944398</v>
      </c>
      <c r="C171" s="39">
        <v>5</v>
      </c>
      <c r="D171" s="41">
        <v>122.91</v>
      </c>
      <c r="E171" s="39" t="str">
        <f t="shared" si="8"/>
        <v>CUST0177</v>
      </c>
      <c r="F171" s="40">
        <f t="shared" ca="1" si="9"/>
        <v>15.590868055602186</v>
      </c>
      <c r="G171" s="39">
        <f t="shared" si="10"/>
        <v>5</v>
      </c>
      <c r="H171" s="41">
        <f t="shared" si="11"/>
        <v>122.91</v>
      </c>
    </row>
    <row r="172" spans="1:8">
      <c r="A172" s="39" t="s">
        <v>12</v>
      </c>
      <c r="B172" s="45">
        <v>46206.409131944398</v>
      </c>
      <c r="C172" s="39">
        <v>5</v>
      </c>
      <c r="D172" s="41">
        <v>114.12</v>
      </c>
      <c r="E172" s="39" t="str">
        <f t="shared" si="8"/>
        <v>CUST0178</v>
      </c>
      <c r="F172" s="40">
        <f t="shared" ca="1" si="9"/>
        <v>94.590868055602186</v>
      </c>
      <c r="G172" s="39">
        <f t="shared" si="10"/>
        <v>5</v>
      </c>
      <c r="H172" s="41">
        <f t="shared" si="11"/>
        <v>114.12</v>
      </c>
    </row>
    <row r="173" spans="1:8">
      <c r="A173" s="39" t="s">
        <v>100</v>
      </c>
      <c r="B173" s="45">
        <v>46264.409131944398</v>
      </c>
      <c r="C173" s="39">
        <v>5</v>
      </c>
      <c r="D173" s="41">
        <v>55.54</v>
      </c>
      <c r="E173" s="39" t="str">
        <f t="shared" si="8"/>
        <v>CUST0179</v>
      </c>
      <c r="F173" s="40">
        <f t="shared" ca="1" si="9"/>
        <v>36.590868055602186</v>
      </c>
      <c r="G173" s="39">
        <f t="shared" si="10"/>
        <v>5</v>
      </c>
      <c r="H173" s="41">
        <f t="shared" si="11"/>
        <v>55.54</v>
      </c>
    </row>
    <row r="174" spans="1:8">
      <c r="A174" s="39" t="s">
        <v>275</v>
      </c>
      <c r="B174" s="45">
        <v>45971.409131944398</v>
      </c>
      <c r="C174" s="39">
        <v>1</v>
      </c>
      <c r="D174" s="41">
        <v>12.12</v>
      </c>
      <c r="E174" s="39" t="str">
        <f t="shared" si="8"/>
        <v>CUST0180</v>
      </c>
      <c r="F174" s="40">
        <f t="shared" ca="1" si="9"/>
        <v>329.59086805560219</v>
      </c>
      <c r="G174" s="39">
        <f t="shared" si="10"/>
        <v>1</v>
      </c>
      <c r="H174" s="41">
        <f t="shared" si="11"/>
        <v>12.12</v>
      </c>
    </row>
    <row r="175" spans="1:8">
      <c r="A175" s="39" t="s">
        <v>502</v>
      </c>
      <c r="B175" s="45">
        <v>46118.409131944398</v>
      </c>
      <c r="C175" s="39">
        <v>4</v>
      </c>
      <c r="D175" s="41">
        <v>34.24</v>
      </c>
      <c r="E175" s="39" t="str">
        <f t="shared" si="8"/>
        <v>CUST0181</v>
      </c>
      <c r="F175" s="40">
        <f t="shared" ca="1" si="9"/>
        <v>182.59086805560219</v>
      </c>
      <c r="G175" s="39">
        <f t="shared" si="10"/>
        <v>4</v>
      </c>
      <c r="H175" s="41">
        <f t="shared" si="11"/>
        <v>34.24</v>
      </c>
    </row>
    <row r="176" spans="1:8">
      <c r="A176" s="39" t="s">
        <v>238</v>
      </c>
      <c r="B176" s="45">
        <v>46192.409131944398</v>
      </c>
      <c r="C176" s="39">
        <v>3</v>
      </c>
      <c r="D176" s="41">
        <v>33.46</v>
      </c>
      <c r="E176" s="39" t="str">
        <f t="shared" si="8"/>
        <v>CUST0182</v>
      </c>
      <c r="F176" s="40">
        <f t="shared" ca="1" si="9"/>
        <v>108.59086805560219</v>
      </c>
      <c r="G176" s="39">
        <f t="shared" si="10"/>
        <v>3</v>
      </c>
      <c r="H176" s="41">
        <f t="shared" si="11"/>
        <v>33.46</v>
      </c>
    </row>
    <row r="177" spans="1:8">
      <c r="A177" s="39" t="s">
        <v>618</v>
      </c>
      <c r="B177" s="45">
        <v>46221.409131944398</v>
      </c>
      <c r="C177" s="39">
        <v>2</v>
      </c>
      <c r="D177" s="41">
        <v>76.81</v>
      </c>
      <c r="E177" s="39" t="str">
        <f t="shared" si="8"/>
        <v>CUST0183</v>
      </c>
      <c r="F177" s="40">
        <f t="shared" ca="1" si="9"/>
        <v>79.590868055602186</v>
      </c>
      <c r="G177" s="39">
        <f t="shared" si="10"/>
        <v>2</v>
      </c>
      <c r="H177" s="41">
        <f t="shared" si="11"/>
        <v>76.81</v>
      </c>
    </row>
    <row r="178" spans="1:8">
      <c r="A178" s="39" t="s">
        <v>163</v>
      </c>
      <c r="B178" s="45">
        <v>46148.409131944398</v>
      </c>
      <c r="C178" s="39">
        <v>2</v>
      </c>
      <c r="D178" s="41">
        <v>9.69</v>
      </c>
      <c r="E178" s="39" t="str">
        <f t="shared" si="8"/>
        <v>CUST0184</v>
      </c>
      <c r="F178" s="40">
        <f t="shared" ca="1" si="9"/>
        <v>152.59086805560219</v>
      </c>
      <c r="G178" s="39">
        <f t="shared" si="10"/>
        <v>2</v>
      </c>
      <c r="H178" s="41">
        <f t="shared" si="11"/>
        <v>9.69</v>
      </c>
    </row>
    <row r="179" spans="1:8">
      <c r="A179" s="39" t="s">
        <v>645</v>
      </c>
      <c r="B179" s="45">
        <v>46287.409131944398</v>
      </c>
      <c r="C179" s="39">
        <v>2</v>
      </c>
      <c r="D179" s="41">
        <v>32.299999999999997</v>
      </c>
      <c r="E179" s="39" t="str">
        <f t="shared" si="8"/>
        <v>CUST0185</v>
      </c>
      <c r="F179" s="40">
        <f t="shared" ca="1" si="9"/>
        <v>13.590868055602186</v>
      </c>
      <c r="G179" s="39">
        <f t="shared" si="10"/>
        <v>2</v>
      </c>
      <c r="H179" s="41">
        <f t="shared" si="11"/>
        <v>32.299999999999997</v>
      </c>
    </row>
    <row r="180" spans="1:8">
      <c r="A180" s="39" t="s">
        <v>752</v>
      </c>
      <c r="B180" s="45">
        <v>46100.409131944398</v>
      </c>
      <c r="C180" s="39">
        <v>2</v>
      </c>
      <c r="D180" s="41">
        <v>17.36</v>
      </c>
      <c r="E180" s="39" t="str">
        <f t="shared" si="8"/>
        <v>CUST0186</v>
      </c>
      <c r="F180" s="40">
        <f t="shared" ca="1" si="9"/>
        <v>200.59086805560219</v>
      </c>
      <c r="G180" s="39">
        <f t="shared" si="10"/>
        <v>2</v>
      </c>
      <c r="H180" s="41">
        <f t="shared" si="11"/>
        <v>17.36</v>
      </c>
    </row>
    <row r="181" spans="1:8">
      <c r="A181" s="39" t="s">
        <v>514</v>
      </c>
      <c r="B181" s="45">
        <v>46173.409131944398</v>
      </c>
      <c r="C181" s="39">
        <v>2</v>
      </c>
      <c r="D181" s="41">
        <v>33.97</v>
      </c>
      <c r="E181" s="39" t="str">
        <f t="shared" si="8"/>
        <v>CUST0187</v>
      </c>
      <c r="F181" s="40">
        <f t="shared" ca="1" si="9"/>
        <v>127.59086805560219</v>
      </c>
      <c r="G181" s="39">
        <f t="shared" si="10"/>
        <v>2</v>
      </c>
      <c r="H181" s="41">
        <f t="shared" si="11"/>
        <v>33.97</v>
      </c>
    </row>
    <row r="182" spans="1:8">
      <c r="A182" s="39" t="s">
        <v>396</v>
      </c>
      <c r="B182" s="45">
        <v>46260.409131944398</v>
      </c>
      <c r="C182" s="39">
        <v>5</v>
      </c>
      <c r="D182" s="41">
        <v>60.47</v>
      </c>
      <c r="E182" s="39" t="str">
        <f t="shared" si="8"/>
        <v>CUST0188</v>
      </c>
      <c r="F182" s="40">
        <f t="shared" ca="1" si="9"/>
        <v>40.590868055602186</v>
      </c>
      <c r="G182" s="39">
        <f t="shared" si="10"/>
        <v>5</v>
      </c>
      <c r="H182" s="41">
        <f t="shared" si="11"/>
        <v>60.47</v>
      </c>
    </row>
    <row r="183" spans="1:8">
      <c r="A183" s="39" t="s">
        <v>296</v>
      </c>
      <c r="B183" s="45">
        <v>46043.409131944398</v>
      </c>
      <c r="C183" s="39">
        <v>1</v>
      </c>
      <c r="D183" s="41">
        <v>17.079999999999998</v>
      </c>
      <c r="E183" s="39" t="str">
        <f t="shared" si="8"/>
        <v>CUST0189</v>
      </c>
      <c r="F183" s="40">
        <f t="shared" ca="1" si="9"/>
        <v>257.59086805560219</v>
      </c>
      <c r="G183" s="39">
        <f t="shared" si="10"/>
        <v>1</v>
      </c>
      <c r="H183" s="41">
        <f t="shared" si="11"/>
        <v>17.079999999999998</v>
      </c>
    </row>
    <row r="184" spans="1:8">
      <c r="A184" s="39" t="s">
        <v>491</v>
      </c>
      <c r="B184" s="45">
        <v>46129.409131944398</v>
      </c>
      <c r="C184" s="39">
        <v>1</v>
      </c>
      <c r="D184" s="41">
        <v>33.44</v>
      </c>
      <c r="E184" s="39" t="str">
        <f t="shared" si="8"/>
        <v>CUST0190</v>
      </c>
      <c r="F184" s="40">
        <f t="shared" ca="1" si="9"/>
        <v>171.59086805560219</v>
      </c>
      <c r="G184" s="39">
        <f t="shared" si="10"/>
        <v>1</v>
      </c>
      <c r="H184" s="41">
        <f t="shared" si="11"/>
        <v>33.44</v>
      </c>
    </row>
    <row r="185" spans="1:8">
      <c r="A185" s="39" t="s">
        <v>774</v>
      </c>
      <c r="B185" s="45">
        <v>46237.409131944398</v>
      </c>
      <c r="C185" s="39">
        <v>1</v>
      </c>
      <c r="D185" s="41">
        <v>16.14</v>
      </c>
      <c r="E185" s="39" t="str">
        <f t="shared" si="8"/>
        <v>CUST0191</v>
      </c>
      <c r="F185" s="40">
        <f t="shared" ca="1" si="9"/>
        <v>63.590868055602186</v>
      </c>
      <c r="G185" s="39">
        <f t="shared" si="10"/>
        <v>1</v>
      </c>
      <c r="H185" s="41">
        <f t="shared" si="11"/>
        <v>16.14</v>
      </c>
    </row>
    <row r="186" spans="1:8">
      <c r="A186" s="39" t="s">
        <v>823</v>
      </c>
      <c r="B186" s="45">
        <v>46254.409131944398</v>
      </c>
      <c r="C186" s="39">
        <v>3</v>
      </c>
      <c r="D186" s="41">
        <v>33.65</v>
      </c>
      <c r="E186" s="39" t="str">
        <f t="shared" si="8"/>
        <v>CUST0192</v>
      </c>
      <c r="F186" s="40">
        <f t="shared" ca="1" si="9"/>
        <v>46.590868055602186</v>
      </c>
      <c r="G186" s="39">
        <f t="shared" si="10"/>
        <v>3</v>
      </c>
      <c r="H186" s="41">
        <f t="shared" si="11"/>
        <v>33.65</v>
      </c>
    </row>
    <row r="187" spans="1:8">
      <c r="A187" s="39" t="s">
        <v>500</v>
      </c>
      <c r="B187" s="45">
        <v>46168.409131944398</v>
      </c>
      <c r="C187" s="39">
        <v>4</v>
      </c>
      <c r="D187" s="41">
        <v>58.1</v>
      </c>
      <c r="E187" s="39" t="str">
        <f t="shared" si="8"/>
        <v>CUST0193</v>
      </c>
      <c r="F187" s="40">
        <f t="shared" ca="1" si="9"/>
        <v>132.59086805560219</v>
      </c>
      <c r="G187" s="39">
        <f t="shared" si="10"/>
        <v>4</v>
      </c>
      <c r="H187" s="41">
        <f t="shared" si="11"/>
        <v>58.1</v>
      </c>
    </row>
    <row r="188" spans="1:8">
      <c r="A188" s="39" t="s">
        <v>323</v>
      </c>
      <c r="B188" s="45">
        <v>46078.409131944398</v>
      </c>
      <c r="C188" s="39">
        <v>2</v>
      </c>
      <c r="D188" s="41">
        <v>19.809999999999999</v>
      </c>
      <c r="E188" s="39" t="str">
        <f t="shared" si="8"/>
        <v>CUST0194</v>
      </c>
      <c r="F188" s="40">
        <f t="shared" ca="1" si="9"/>
        <v>222.59086805560219</v>
      </c>
      <c r="G188" s="39">
        <f t="shared" si="10"/>
        <v>2</v>
      </c>
      <c r="H188" s="41">
        <f t="shared" si="11"/>
        <v>19.809999999999999</v>
      </c>
    </row>
    <row r="189" spans="1:8">
      <c r="A189" s="39" t="s">
        <v>407</v>
      </c>
      <c r="B189" s="45">
        <v>46292.409131944398</v>
      </c>
      <c r="C189" s="39">
        <v>4</v>
      </c>
      <c r="D189" s="41">
        <v>52.35</v>
      </c>
      <c r="E189" s="39" t="str">
        <f t="shared" si="8"/>
        <v>CUST0195</v>
      </c>
      <c r="F189" s="40">
        <f t="shared" ca="1" si="9"/>
        <v>8.5908680556021864</v>
      </c>
      <c r="G189" s="39">
        <f t="shared" si="10"/>
        <v>4</v>
      </c>
      <c r="H189" s="41">
        <f t="shared" si="11"/>
        <v>52.35</v>
      </c>
    </row>
    <row r="190" spans="1:8">
      <c r="A190" s="39" t="s">
        <v>145</v>
      </c>
      <c r="B190" s="45">
        <v>46152.409131944398</v>
      </c>
      <c r="C190" s="39">
        <v>2</v>
      </c>
      <c r="D190" s="41">
        <v>23.36</v>
      </c>
      <c r="E190" s="39" t="str">
        <f t="shared" si="8"/>
        <v>CUST0196</v>
      </c>
      <c r="F190" s="40">
        <f t="shared" ca="1" si="9"/>
        <v>148.59086805560219</v>
      </c>
      <c r="G190" s="39">
        <f t="shared" si="10"/>
        <v>2</v>
      </c>
      <c r="H190" s="41">
        <f t="shared" si="11"/>
        <v>23.36</v>
      </c>
    </row>
    <row r="191" spans="1:8">
      <c r="A191" s="39" t="s">
        <v>402</v>
      </c>
      <c r="B191" s="45">
        <v>46175.409131944398</v>
      </c>
      <c r="C191" s="39">
        <v>1</v>
      </c>
      <c r="D191" s="41">
        <v>4.26</v>
      </c>
      <c r="E191" s="39" t="str">
        <f t="shared" si="8"/>
        <v>CUST0197</v>
      </c>
      <c r="F191" s="40">
        <f t="shared" ca="1" si="9"/>
        <v>125.59086805560219</v>
      </c>
      <c r="G191" s="39">
        <f t="shared" si="10"/>
        <v>1</v>
      </c>
      <c r="H191" s="41">
        <f t="shared" si="11"/>
        <v>4.26</v>
      </c>
    </row>
    <row r="192" spans="1:8">
      <c r="A192" s="39" t="s">
        <v>120</v>
      </c>
      <c r="B192" s="45">
        <v>46258.409131944398</v>
      </c>
      <c r="C192" s="39">
        <v>5</v>
      </c>
      <c r="D192" s="41">
        <v>61.88</v>
      </c>
      <c r="E192" s="39" t="str">
        <f t="shared" si="8"/>
        <v>CUST0198</v>
      </c>
      <c r="F192" s="40">
        <f t="shared" ca="1" si="9"/>
        <v>42.590868055602186</v>
      </c>
      <c r="G192" s="39">
        <f t="shared" si="10"/>
        <v>5</v>
      </c>
      <c r="H192" s="41">
        <f t="shared" si="11"/>
        <v>61.88</v>
      </c>
    </row>
    <row r="193" spans="1:8">
      <c r="A193" s="39" t="s">
        <v>592</v>
      </c>
      <c r="B193" s="45">
        <v>46247.409131944398</v>
      </c>
      <c r="C193" s="39">
        <v>4</v>
      </c>
      <c r="D193" s="41">
        <v>41.64</v>
      </c>
      <c r="E193" s="39" t="str">
        <f t="shared" si="8"/>
        <v>CUST0199</v>
      </c>
      <c r="F193" s="40">
        <f t="shared" ca="1" si="9"/>
        <v>53.590868055602186</v>
      </c>
      <c r="G193" s="39">
        <f t="shared" si="10"/>
        <v>4</v>
      </c>
      <c r="H193" s="41">
        <f t="shared" si="11"/>
        <v>41.64</v>
      </c>
    </row>
    <row r="194" spans="1:8">
      <c r="A194" s="39" t="s">
        <v>197</v>
      </c>
      <c r="B194" s="45">
        <v>46295.409131944398</v>
      </c>
      <c r="C194" s="39">
        <v>2</v>
      </c>
      <c r="D194" s="41">
        <v>45.68</v>
      </c>
      <c r="E194" s="39" t="str">
        <f t="shared" si="8"/>
        <v>CUST0200</v>
      </c>
      <c r="F194" s="40">
        <f t="shared" ca="1" si="9"/>
        <v>5.5908680556021864</v>
      </c>
      <c r="G194" s="39">
        <f t="shared" si="10"/>
        <v>2</v>
      </c>
      <c r="H194" s="41">
        <f t="shared" si="11"/>
        <v>45.68</v>
      </c>
    </row>
    <row r="195" spans="1:8">
      <c r="A195" s="39" t="s">
        <v>446</v>
      </c>
      <c r="B195" s="45">
        <v>46281.409131944398</v>
      </c>
      <c r="C195" s="39">
        <v>3</v>
      </c>
      <c r="D195" s="41">
        <v>26.67</v>
      </c>
      <c r="E195" s="39" t="str">
        <f t="shared" si="8"/>
        <v>CUST0201</v>
      </c>
      <c r="F195" s="40">
        <f t="shared" ca="1" si="9"/>
        <v>19.590868055602186</v>
      </c>
      <c r="G195" s="39">
        <f t="shared" si="10"/>
        <v>3</v>
      </c>
      <c r="H195" s="41">
        <f t="shared" si="11"/>
        <v>26.67</v>
      </c>
    </row>
    <row r="196" spans="1:8">
      <c r="A196" s="39" t="s">
        <v>246</v>
      </c>
      <c r="B196" s="45">
        <v>46287.409131944398</v>
      </c>
      <c r="C196" s="39">
        <v>5</v>
      </c>
      <c r="D196" s="41">
        <v>85.24</v>
      </c>
      <c r="E196" s="39" t="str">
        <f t="shared" ref="E196:E259" si="12">A196</f>
        <v>CUST0202</v>
      </c>
      <c r="F196" s="40">
        <f t="shared" ref="F196:F259" ca="1" si="13">TODAY()-B196</f>
        <v>13.590868055602186</v>
      </c>
      <c r="G196" s="39">
        <f t="shared" ref="G196:G259" si="14">C196</f>
        <v>5</v>
      </c>
      <c r="H196" s="41">
        <f t="shared" ref="H196:H259" si="15">D196</f>
        <v>85.24</v>
      </c>
    </row>
    <row r="197" spans="1:8">
      <c r="A197" s="39" t="s">
        <v>1218</v>
      </c>
      <c r="B197" s="45">
        <v>46044.409131944398</v>
      </c>
      <c r="C197" s="39">
        <v>1</v>
      </c>
      <c r="D197" s="41">
        <v>8.8000000000000007</v>
      </c>
      <c r="E197" s="39" t="str">
        <f t="shared" si="12"/>
        <v>CUST0203</v>
      </c>
      <c r="F197" s="40">
        <f t="shared" ca="1" si="13"/>
        <v>256.59086805560219</v>
      </c>
      <c r="G197" s="39">
        <f t="shared" si="14"/>
        <v>1</v>
      </c>
      <c r="H197" s="41">
        <f t="shared" si="15"/>
        <v>8.8000000000000007</v>
      </c>
    </row>
    <row r="198" spans="1:8">
      <c r="A198" s="39" t="s">
        <v>836</v>
      </c>
      <c r="B198" s="45">
        <v>46283.409131944398</v>
      </c>
      <c r="C198" s="39">
        <v>3</v>
      </c>
      <c r="D198" s="41">
        <v>20.82</v>
      </c>
      <c r="E198" s="39" t="str">
        <f t="shared" si="12"/>
        <v>CUST0204</v>
      </c>
      <c r="F198" s="40">
        <f t="shared" ca="1" si="13"/>
        <v>17.590868055602186</v>
      </c>
      <c r="G198" s="39">
        <f t="shared" si="14"/>
        <v>3</v>
      </c>
      <c r="H198" s="41">
        <f t="shared" si="15"/>
        <v>20.82</v>
      </c>
    </row>
    <row r="199" spans="1:8">
      <c r="A199" s="39" t="s">
        <v>918</v>
      </c>
      <c r="B199" s="45">
        <v>46177.409131944398</v>
      </c>
      <c r="C199" s="39">
        <v>1</v>
      </c>
      <c r="D199" s="41">
        <v>5.19</v>
      </c>
      <c r="E199" s="39" t="str">
        <f t="shared" si="12"/>
        <v>CUST0205</v>
      </c>
      <c r="F199" s="40">
        <f t="shared" ca="1" si="13"/>
        <v>123.59086805560219</v>
      </c>
      <c r="G199" s="39">
        <f t="shared" si="14"/>
        <v>1</v>
      </c>
      <c r="H199" s="41">
        <f t="shared" si="15"/>
        <v>5.19</v>
      </c>
    </row>
    <row r="200" spans="1:8">
      <c r="A200" s="39" t="s">
        <v>793</v>
      </c>
      <c r="B200" s="45">
        <v>46117.409131944398</v>
      </c>
      <c r="C200" s="39">
        <v>3</v>
      </c>
      <c r="D200" s="41">
        <v>63.08</v>
      </c>
      <c r="E200" s="39" t="str">
        <f t="shared" si="12"/>
        <v>CUST0206</v>
      </c>
      <c r="F200" s="40">
        <f t="shared" ca="1" si="13"/>
        <v>183.59086805560219</v>
      </c>
      <c r="G200" s="39">
        <f t="shared" si="14"/>
        <v>3</v>
      </c>
      <c r="H200" s="41">
        <f t="shared" si="15"/>
        <v>63.08</v>
      </c>
    </row>
    <row r="201" spans="1:8">
      <c r="A201" s="39" t="s">
        <v>1012</v>
      </c>
      <c r="B201" s="45">
        <v>46276.409131944398</v>
      </c>
      <c r="C201" s="39">
        <v>2</v>
      </c>
      <c r="D201" s="41">
        <v>22.57</v>
      </c>
      <c r="E201" s="39" t="str">
        <f t="shared" si="12"/>
        <v>CUST0207</v>
      </c>
      <c r="F201" s="40">
        <f t="shared" ca="1" si="13"/>
        <v>24.590868055602186</v>
      </c>
      <c r="G201" s="39">
        <f t="shared" si="14"/>
        <v>2</v>
      </c>
      <c r="H201" s="41">
        <f t="shared" si="15"/>
        <v>22.57</v>
      </c>
    </row>
    <row r="202" spans="1:8">
      <c r="A202" s="39" t="s">
        <v>885</v>
      </c>
      <c r="B202" s="45">
        <v>46155.409131944398</v>
      </c>
      <c r="C202" s="39">
        <v>3</v>
      </c>
      <c r="D202" s="41">
        <v>61.43</v>
      </c>
      <c r="E202" s="39" t="str">
        <f t="shared" si="12"/>
        <v>CUST0208</v>
      </c>
      <c r="F202" s="40">
        <f t="shared" ca="1" si="13"/>
        <v>145.59086805560219</v>
      </c>
      <c r="G202" s="39">
        <f t="shared" si="14"/>
        <v>3</v>
      </c>
      <c r="H202" s="41">
        <f t="shared" si="15"/>
        <v>61.43</v>
      </c>
    </row>
    <row r="203" spans="1:8">
      <c r="A203" s="39" t="s">
        <v>434</v>
      </c>
      <c r="B203" s="45">
        <v>46155.409131944398</v>
      </c>
      <c r="C203" s="39">
        <v>3</v>
      </c>
      <c r="D203" s="41">
        <v>41</v>
      </c>
      <c r="E203" s="39" t="str">
        <f t="shared" si="12"/>
        <v>CUST0209</v>
      </c>
      <c r="F203" s="40">
        <f t="shared" ca="1" si="13"/>
        <v>145.59086805560219</v>
      </c>
      <c r="G203" s="39">
        <f t="shared" si="14"/>
        <v>3</v>
      </c>
      <c r="H203" s="41">
        <f t="shared" si="15"/>
        <v>41</v>
      </c>
    </row>
    <row r="204" spans="1:8">
      <c r="A204" s="39" t="s">
        <v>205</v>
      </c>
      <c r="B204" s="45">
        <v>46122.409131944398</v>
      </c>
      <c r="C204" s="39">
        <v>4</v>
      </c>
      <c r="D204" s="41">
        <v>47.96</v>
      </c>
      <c r="E204" s="39" t="str">
        <f t="shared" si="12"/>
        <v>CUST0210</v>
      </c>
      <c r="F204" s="40">
        <f t="shared" ca="1" si="13"/>
        <v>178.59086805560219</v>
      </c>
      <c r="G204" s="39">
        <f t="shared" si="14"/>
        <v>4</v>
      </c>
      <c r="H204" s="41">
        <f t="shared" si="15"/>
        <v>47.96</v>
      </c>
    </row>
    <row r="205" spans="1:8">
      <c r="A205" s="39" t="s">
        <v>305</v>
      </c>
      <c r="B205" s="45">
        <v>46283.409131944398</v>
      </c>
      <c r="C205" s="39">
        <v>2</v>
      </c>
      <c r="D205" s="41">
        <v>21.21</v>
      </c>
      <c r="E205" s="39" t="str">
        <f t="shared" si="12"/>
        <v>CUST0211</v>
      </c>
      <c r="F205" s="40">
        <f t="shared" ca="1" si="13"/>
        <v>17.590868055602186</v>
      </c>
      <c r="G205" s="39">
        <f t="shared" si="14"/>
        <v>2</v>
      </c>
      <c r="H205" s="41">
        <f t="shared" si="15"/>
        <v>21.21</v>
      </c>
    </row>
    <row r="206" spans="1:8">
      <c r="A206" s="39" t="s">
        <v>72</v>
      </c>
      <c r="B206" s="45">
        <v>46300.409131944398</v>
      </c>
      <c r="C206" s="39">
        <v>3</v>
      </c>
      <c r="D206" s="41">
        <v>40.74</v>
      </c>
      <c r="E206" s="39" t="str">
        <f t="shared" si="12"/>
        <v>CUST0213</v>
      </c>
      <c r="F206" s="40">
        <f t="shared" ca="1" si="13"/>
        <v>0.59086805560218636</v>
      </c>
      <c r="G206" s="39">
        <f t="shared" si="14"/>
        <v>3</v>
      </c>
      <c r="H206" s="41">
        <f t="shared" si="15"/>
        <v>40.74</v>
      </c>
    </row>
    <row r="207" spans="1:8">
      <c r="A207" s="39" t="s">
        <v>230</v>
      </c>
      <c r="B207" s="45">
        <v>46164.409131944398</v>
      </c>
      <c r="C207" s="39">
        <v>4</v>
      </c>
      <c r="D207" s="41">
        <v>29.38</v>
      </c>
      <c r="E207" s="39" t="str">
        <f t="shared" si="12"/>
        <v>CUST0214</v>
      </c>
      <c r="F207" s="40">
        <f t="shared" ca="1" si="13"/>
        <v>136.59086805560219</v>
      </c>
      <c r="G207" s="39">
        <f t="shared" si="14"/>
        <v>4</v>
      </c>
      <c r="H207" s="41">
        <f t="shared" si="15"/>
        <v>29.38</v>
      </c>
    </row>
    <row r="208" spans="1:8">
      <c r="A208" s="39" t="s">
        <v>303</v>
      </c>
      <c r="B208" s="45">
        <v>46127.409131944398</v>
      </c>
      <c r="C208" s="39">
        <v>6</v>
      </c>
      <c r="D208" s="41">
        <v>123.08</v>
      </c>
      <c r="E208" s="39" t="str">
        <f t="shared" si="12"/>
        <v>CUST0215</v>
      </c>
      <c r="F208" s="40">
        <f t="shared" ca="1" si="13"/>
        <v>173.59086805560219</v>
      </c>
      <c r="G208" s="39">
        <f t="shared" si="14"/>
        <v>6</v>
      </c>
      <c r="H208" s="41">
        <f t="shared" si="15"/>
        <v>123.08</v>
      </c>
    </row>
    <row r="209" spans="1:8">
      <c r="A209" s="39" t="s">
        <v>161</v>
      </c>
      <c r="B209" s="45">
        <v>46231.409131944398</v>
      </c>
      <c r="C209" s="39">
        <v>5</v>
      </c>
      <c r="D209" s="41">
        <v>158.80000000000001</v>
      </c>
      <c r="E209" s="39" t="str">
        <f t="shared" si="12"/>
        <v>CUST0216</v>
      </c>
      <c r="F209" s="40">
        <f t="shared" ca="1" si="13"/>
        <v>69.590868055602186</v>
      </c>
      <c r="G209" s="39">
        <f t="shared" si="14"/>
        <v>5</v>
      </c>
      <c r="H209" s="41">
        <f t="shared" si="15"/>
        <v>158.80000000000001</v>
      </c>
    </row>
    <row r="210" spans="1:8">
      <c r="A210" s="39" t="s">
        <v>544</v>
      </c>
      <c r="B210" s="45">
        <v>46216.409131944398</v>
      </c>
      <c r="C210" s="39">
        <v>3</v>
      </c>
      <c r="D210" s="41">
        <v>33.950000000000003</v>
      </c>
      <c r="E210" s="39" t="str">
        <f t="shared" si="12"/>
        <v>CUST0217</v>
      </c>
      <c r="F210" s="40">
        <f t="shared" ca="1" si="13"/>
        <v>84.590868055602186</v>
      </c>
      <c r="G210" s="39">
        <f t="shared" si="14"/>
        <v>3</v>
      </c>
      <c r="H210" s="41">
        <f t="shared" si="15"/>
        <v>33.950000000000003</v>
      </c>
    </row>
    <row r="211" spans="1:8">
      <c r="A211" s="39" t="s">
        <v>200</v>
      </c>
      <c r="B211" s="45">
        <v>46281.409131944398</v>
      </c>
      <c r="C211" s="39">
        <v>3</v>
      </c>
      <c r="D211" s="41">
        <v>59.46</v>
      </c>
      <c r="E211" s="39" t="str">
        <f t="shared" si="12"/>
        <v>CUST0218</v>
      </c>
      <c r="F211" s="40">
        <f t="shared" ca="1" si="13"/>
        <v>19.590868055602186</v>
      </c>
      <c r="G211" s="39">
        <f t="shared" si="14"/>
        <v>3</v>
      </c>
      <c r="H211" s="41">
        <f t="shared" si="15"/>
        <v>59.46</v>
      </c>
    </row>
    <row r="212" spans="1:8">
      <c r="A212" s="39" t="s">
        <v>483</v>
      </c>
      <c r="B212" s="45">
        <v>46296.409131944398</v>
      </c>
      <c r="C212" s="39">
        <v>2</v>
      </c>
      <c r="D212" s="41">
        <v>47.76</v>
      </c>
      <c r="E212" s="39" t="str">
        <f t="shared" si="12"/>
        <v>CUST0219</v>
      </c>
      <c r="F212" s="40">
        <f t="shared" ca="1" si="13"/>
        <v>4.5908680556021864</v>
      </c>
      <c r="G212" s="39">
        <f t="shared" si="14"/>
        <v>2</v>
      </c>
      <c r="H212" s="41">
        <f t="shared" si="15"/>
        <v>47.76</v>
      </c>
    </row>
    <row r="213" spans="1:8">
      <c r="A213" s="39" t="s">
        <v>1019</v>
      </c>
      <c r="B213" s="45">
        <v>46218.409131944398</v>
      </c>
      <c r="C213" s="39">
        <v>3</v>
      </c>
      <c r="D213" s="41">
        <v>73.260000000000005</v>
      </c>
      <c r="E213" s="39" t="str">
        <f t="shared" si="12"/>
        <v>CUST0220</v>
      </c>
      <c r="F213" s="40">
        <f t="shared" ca="1" si="13"/>
        <v>82.590868055602186</v>
      </c>
      <c r="G213" s="39">
        <f t="shared" si="14"/>
        <v>3</v>
      </c>
      <c r="H213" s="41">
        <f t="shared" si="15"/>
        <v>73.260000000000005</v>
      </c>
    </row>
    <row r="214" spans="1:8">
      <c r="A214" s="39" t="s">
        <v>995</v>
      </c>
      <c r="B214" s="45">
        <v>45963.409131944398</v>
      </c>
      <c r="C214" s="39">
        <v>2</v>
      </c>
      <c r="D214" s="41">
        <v>30.95</v>
      </c>
      <c r="E214" s="39" t="str">
        <f t="shared" si="12"/>
        <v>CUST0221</v>
      </c>
      <c r="F214" s="40">
        <f t="shared" ca="1" si="13"/>
        <v>337.59086805560219</v>
      </c>
      <c r="G214" s="39">
        <f t="shared" si="14"/>
        <v>2</v>
      </c>
      <c r="H214" s="41">
        <f t="shared" si="15"/>
        <v>30.95</v>
      </c>
    </row>
    <row r="215" spans="1:8">
      <c r="A215" s="39" t="s">
        <v>329</v>
      </c>
      <c r="B215" s="45">
        <v>46299.409131944398</v>
      </c>
      <c r="C215" s="39">
        <v>4</v>
      </c>
      <c r="D215" s="41">
        <v>30.69</v>
      </c>
      <c r="E215" s="39" t="str">
        <f t="shared" si="12"/>
        <v>CUST0222</v>
      </c>
      <c r="F215" s="40">
        <f t="shared" ca="1" si="13"/>
        <v>1.5908680556021864</v>
      </c>
      <c r="G215" s="39">
        <f t="shared" si="14"/>
        <v>4</v>
      </c>
      <c r="H215" s="41">
        <f t="shared" si="15"/>
        <v>30.69</v>
      </c>
    </row>
    <row r="216" spans="1:8">
      <c r="A216" s="39" t="s">
        <v>378</v>
      </c>
      <c r="B216" s="45">
        <v>46248.409131944398</v>
      </c>
      <c r="C216" s="39">
        <v>5</v>
      </c>
      <c r="D216" s="41">
        <v>61.24</v>
      </c>
      <c r="E216" s="39" t="str">
        <f t="shared" si="12"/>
        <v>CUST0223</v>
      </c>
      <c r="F216" s="40">
        <f t="shared" ca="1" si="13"/>
        <v>52.590868055602186</v>
      </c>
      <c r="G216" s="39">
        <f t="shared" si="14"/>
        <v>5</v>
      </c>
      <c r="H216" s="41">
        <f t="shared" si="15"/>
        <v>61.24</v>
      </c>
    </row>
    <row r="217" spans="1:8">
      <c r="A217" s="39" t="s">
        <v>300</v>
      </c>
      <c r="B217" s="45">
        <v>46295.409131944398</v>
      </c>
      <c r="C217" s="39">
        <v>6</v>
      </c>
      <c r="D217" s="41">
        <v>116.16</v>
      </c>
      <c r="E217" s="39" t="str">
        <f t="shared" si="12"/>
        <v>CUST0224</v>
      </c>
      <c r="F217" s="40">
        <f t="shared" ca="1" si="13"/>
        <v>5.5908680556021864</v>
      </c>
      <c r="G217" s="39">
        <f t="shared" si="14"/>
        <v>6</v>
      </c>
      <c r="H217" s="41">
        <f t="shared" si="15"/>
        <v>116.16</v>
      </c>
    </row>
    <row r="218" spans="1:8">
      <c r="A218" s="39" t="s">
        <v>114</v>
      </c>
      <c r="B218" s="45">
        <v>46200.409131944398</v>
      </c>
      <c r="C218" s="39">
        <v>3</v>
      </c>
      <c r="D218" s="41">
        <v>24.72</v>
      </c>
      <c r="E218" s="39" t="str">
        <f t="shared" si="12"/>
        <v>CUST0225</v>
      </c>
      <c r="F218" s="40">
        <f t="shared" ca="1" si="13"/>
        <v>100.59086805560219</v>
      </c>
      <c r="G218" s="39">
        <f t="shared" si="14"/>
        <v>3</v>
      </c>
      <c r="H218" s="41">
        <f t="shared" si="15"/>
        <v>24.72</v>
      </c>
    </row>
    <row r="219" spans="1:8">
      <c r="A219" s="39" t="s">
        <v>418</v>
      </c>
      <c r="B219" s="45">
        <v>46281.409131944398</v>
      </c>
      <c r="C219" s="39">
        <v>7</v>
      </c>
      <c r="D219" s="41">
        <v>108.13</v>
      </c>
      <c r="E219" s="39" t="str">
        <f t="shared" si="12"/>
        <v>CUST0226</v>
      </c>
      <c r="F219" s="40">
        <f t="shared" ca="1" si="13"/>
        <v>19.590868055602186</v>
      </c>
      <c r="G219" s="39">
        <f t="shared" si="14"/>
        <v>7</v>
      </c>
      <c r="H219" s="41">
        <f t="shared" si="15"/>
        <v>108.13</v>
      </c>
    </row>
    <row r="220" spans="1:8">
      <c r="A220" s="39" t="s">
        <v>519</v>
      </c>
      <c r="B220" s="45">
        <v>46239.409131944398</v>
      </c>
      <c r="C220" s="39">
        <v>6</v>
      </c>
      <c r="D220" s="41">
        <v>126.89</v>
      </c>
      <c r="E220" s="39" t="str">
        <f t="shared" si="12"/>
        <v>CUST0227</v>
      </c>
      <c r="F220" s="40">
        <f t="shared" ca="1" si="13"/>
        <v>61.590868055602186</v>
      </c>
      <c r="G220" s="39">
        <f t="shared" si="14"/>
        <v>6</v>
      </c>
      <c r="H220" s="41">
        <f t="shared" si="15"/>
        <v>126.89</v>
      </c>
    </row>
    <row r="221" spans="1:8">
      <c r="A221" s="39" t="s">
        <v>159</v>
      </c>
      <c r="B221" s="45">
        <v>46235.409131944398</v>
      </c>
      <c r="C221" s="39">
        <v>4</v>
      </c>
      <c r="D221" s="41">
        <v>37.58</v>
      </c>
      <c r="E221" s="39" t="str">
        <f t="shared" si="12"/>
        <v>CUST0228</v>
      </c>
      <c r="F221" s="40">
        <f t="shared" ca="1" si="13"/>
        <v>65.590868055602186</v>
      </c>
      <c r="G221" s="39">
        <f t="shared" si="14"/>
        <v>4</v>
      </c>
      <c r="H221" s="41">
        <f t="shared" si="15"/>
        <v>37.58</v>
      </c>
    </row>
    <row r="222" spans="1:8">
      <c r="A222" s="39" t="s">
        <v>64</v>
      </c>
      <c r="B222" s="45">
        <v>46237.409131944398</v>
      </c>
      <c r="C222" s="39">
        <v>4</v>
      </c>
      <c r="D222" s="41">
        <v>70.73</v>
      </c>
      <c r="E222" s="39" t="str">
        <f t="shared" si="12"/>
        <v>CUST0229</v>
      </c>
      <c r="F222" s="40">
        <f t="shared" ca="1" si="13"/>
        <v>63.590868055602186</v>
      </c>
      <c r="G222" s="39">
        <f t="shared" si="14"/>
        <v>4</v>
      </c>
      <c r="H222" s="41">
        <f t="shared" si="15"/>
        <v>70.73</v>
      </c>
    </row>
    <row r="223" spans="1:8">
      <c r="A223" s="39" t="s">
        <v>136</v>
      </c>
      <c r="B223" s="45">
        <v>46241.409131944398</v>
      </c>
      <c r="C223" s="39">
        <v>3</v>
      </c>
      <c r="D223" s="41">
        <v>55.25</v>
      </c>
      <c r="E223" s="39" t="str">
        <f t="shared" si="12"/>
        <v>CUST0231</v>
      </c>
      <c r="F223" s="40">
        <f t="shared" ca="1" si="13"/>
        <v>59.590868055602186</v>
      </c>
      <c r="G223" s="39">
        <f t="shared" si="14"/>
        <v>3</v>
      </c>
      <c r="H223" s="41">
        <f t="shared" si="15"/>
        <v>55.25</v>
      </c>
    </row>
    <row r="224" spans="1:8">
      <c r="A224" s="39" t="s">
        <v>517</v>
      </c>
      <c r="B224" s="45">
        <v>46236.409131944398</v>
      </c>
      <c r="C224" s="39">
        <v>2</v>
      </c>
      <c r="D224" s="41">
        <v>9.94</v>
      </c>
      <c r="E224" s="39" t="str">
        <f t="shared" si="12"/>
        <v>CUST0232</v>
      </c>
      <c r="F224" s="40">
        <f t="shared" ca="1" si="13"/>
        <v>64.590868055602186</v>
      </c>
      <c r="G224" s="39">
        <f t="shared" si="14"/>
        <v>2</v>
      </c>
      <c r="H224" s="41">
        <f t="shared" si="15"/>
        <v>9.94</v>
      </c>
    </row>
    <row r="225" spans="1:8">
      <c r="A225" s="39" t="s">
        <v>804</v>
      </c>
      <c r="B225" s="45">
        <v>46159.409131944398</v>
      </c>
      <c r="C225" s="39">
        <v>3</v>
      </c>
      <c r="D225" s="41">
        <v>61.04</v>
      </c>
      <c r="E225" s="39" t="str">
        <f t="shared" si="12"/>
        <v>CUST0233</v>
      </c>
      <c r="F225" s="40">
        <f t="shared" ca="1" si="13"/>
        <v>141.59086805560219</v>
      </c>
      <c r="G225" s="39">
        <f t="shared" si="14"/>
        <v>3</v>
      </c>
      <c r="H225" s="41">
        <f t="shared" si="15"/>
        <v>61.04</v>
      </c>
    </row>
    <row r="226" spans="1:8">
      <c r="A226" s="39" t="s">
        <v>405</v>
      </c>
      <c r="B226" s="45">
        <v>46212.409131944398</v>
      </c>
      <c r="C226" s="39">
        <v>2</v>
      </c>
      <c r="D226" s="41">
        <v>22.16</v>
      </c>
      <c r="E226" s="39" t="str">
        <f t="shared" si="12"/>
        <v>CUST0234</v>
      </c>
      <c r="F226" s="40">
        <f t="shared" ca="1" si="13"/>
        <v>88.590868055602186</v>
      </c>
      <c r="G226" s="39">
        <f t="shared" si="14"/>
        <v>2</v>
      </c>
      <c r="H226" s="41">
        <f t="shared" si="15"/>
        <v>22.16</v>
      </c>
    </row>
    <row r="227" spans="1:8">
      <c r="A227" s="39" t="s">
        <v>452</v>
      </c>
      <c r="B227" s="45">
        <v>46272.409131944398</v>
      </c>
      <c r="C227" s="39">
        <v>2</v>
      </c>
      <c r="D227" s="41">
        <v>54.57</v>
      </c>
      <c r="E227" s="39" t="str">
        <f t="shared" si="12"/>
        <v>CUST0235</v>
      </c>
      <c r="F227" s="40">
        <f t="shared" ca="1" si="13"/>
        <v>28.590868055602186</v>
      </c>
      <c r="G227" s="39">
        <f t="shared" si="14"/>
        <v>2</v>
      </c>
      <c r="H227" s="41">
        <f t="shared" si="15"/>
        <v>54.57</v>
      </c>
    </row>
    <row r="228" spans="1:8">
      <c r="A228" s="39" t="s">
        <v>47</v>
      </c>
      <c r="B228" s="45">
        <v>46266.409131944398</v>
      </c>
      <c r="C228" s="39">
        <v>5</v>
      </c>
      <c r="D228" s="41">
        <v>70.13</v>
      </c>
      <c r="E228" s="39" t="str">
        <f t="shared" si="12"/>
        <v>CUST0236</v>
      </c>
      <c r="F228" s="40">
        <f t="shared" ca="1" si="13"/>
        <v>34.590868055602186</v>
      </c>
      <c r="G228" s="39">
        <f t="shared" si="14"/>
        <v>5</v>
      </c>
      <c r="H228" s="41">
        <f t="shared" si="15"/>
        <v>70.13</v>
      </c>
    </row>
    <row r="229" spans="1:8">
      <c r="A229" s="39" t="s">
        <v>86</v>
      </c>
      <c r="B229" s="45">
        <v>46299.409131944398</v>
      </c>
      <c r="C229" s="39">
        <v>5</v>
      </c>
      <c r="D229" s="41">
        <v>92.73</v>
      </c>
      <c r="E229" s="39" t="str">
        <f t="shared" si="12"/>
        <v>CUST0237</v>
      </c>
      <c r="F229" s="40">
        <f t="shared" ca="1" si="13"/>
        <v>1.5908680556021864</v>
      </c>
      <c r="G229" s="39">
        <f t="shared" si="14"/>
        <v>5</v>
      </c>
      <c r="H229" s="41">
        <f t="shared" si="15"/>
        <v>92.73</v>
      </c>
    </row>
    <row r="230" spans="1:8">
      <c r="A230" s="39" t="s">
        <v>992</v>
      </c>
      <c r="B230" s="45">
        <v>46132.409131944398</v>
      </c>
      <c r="C230" s="39">
        <v>1</v>
      </c>
      <c r="D230" s="41">
        <v>34.880000000000003</v>
      </c>
      <c r="E230" s="39" t="str">
        <f t="shared" si="12"/>
        <v>CUST0238</v>
      </c>
      <c r="F230" s="40">
        <f t="shared" ca="1" si="13"/>
        <v>168.59086805560219</v>
      </c>
      <c r="G230" s="39">
        <f t="shared" si="14"/>
        <v>1</v>
      </c>
      <c r="H230" s="41">
        <f t="shared" si="15"/>
        <v>34.880000000000003</v>
      </c>
    </row>
    <row r="231" spans="1:8">
      <c r="A231" s="39" t="s">
        <v>359</v>
      </c>
      <c r="B231" s="45">
        <v>46219.409131944398</v>
      </c>
      <c r="C231" s="39">
        <v>4</v>
      </c>
      <c r="D231" s="41">
        <v>85.9</v>
      </c>
      <c r="E231" s="39" t="str">
        <f t="shared" si="12"/>
        <v>CUST0239</v>
      </c>
      <c r="F231" s="40">
        <f t="shared" ca="1" si="13"/>
        <v>81.590868055602186</v>
      </c>
      <c r="G231" s="39">
        <f t="shared" si="14"/>
        <v>4</v>
      </c>
      <c r="H231" s="41">
        <f t="shared" si="15"/>
        <v>85.9</v>
      </c>
    </row>
    <row r="232" spans="1:8">
      <c r="A232" s="39" t="s">
        <v>1049</v>
      </c>
      <c r="B232" s="45">
        <v>46283.409131944398</v>
      </c>
      <c r="C232" s="39">
        <v>1</v>
      </c>
      <c r="D232" s="41">
        <v>12.43</v>
      </c>
      <c r="E232" s="39" t="str">
        <f t="shared" si="12"/>
        <v>CUST0240</v>
      </c>
      <c r="F232" s="40">
        <f t="shared" ca="1" si="13"/>
        <v>17.590868055602186</v>
      </c>
      <c r="G232" s="39">
        <f t="shared" si="14"/>
        <v>1</v>
      </c>
      <c r="H232" s="41">
        <f t="shared" si="15"/>
        <v>12.43</v>
      </c>
    </row>
    <row r="233" spans="1:8">
      <c r="A233" s="39" t="s">
        <v>691</v>
      </c>
      <c r="B233" s="45">
        <v>46266.409131944398</v>
      </c>
      <c r="C233" s="39">
        <v>3</v>
      </c>
      <c r="D233" s="41">
        <v>51.7</v>
      </c>
      <c r="E233" s="39" t="str">
        <f t="shared" si="12"/>
        <v>CUST0241</v>
      </c>
      <c r="F233" s="40">
        <f t="shared" ca="1" si="13"/>
        <v>34.590868055602186</v>
      </c>
      <c r="G233" s="39">
        <f t="shared" si="14"/>
        <v>3</v>
      </c>
      <c r="H233" s="41">
        <f t="shared" si="15"/>
        <v>51.7</v>
      </c>
    </row>
    <row r="234" spans="1:8">
      <c r="A234" s="39" t="s">
        <v>820</v>
      </c>
      <c r="B234" s="45">
        <v>46290.409131944398</v>
      </c>
      <c r="C234" s="39">
        <v>4</v>
      </c>
      <c r="D234" s="41">
        <v>97.14</v>
      </c>
      <c r="E234" s="39" t="str">
        <f t="shared" si="12"/>
        <v>CUST0242</v>
      </c>
      <c r="F234" s="40">
        <f t="shared" ca="1" si="13"/>
        <v>10.590868055602186</v>
      </c>
      <c r="G234" s="39">
        <f t="shared" si="14"/>
        <v>4</v>
      </c>
      <c r="H234" s="41">
        <f t="shared" si="15"/>
        <v>97.14</v>
      </c>
    </row>
    <row r="235" spans="1:8">
      <c r="A235" s="39" t="s">
        <v>179</v>
      </c>
      <c r="B235" s="45">
        <v>46174.409131944398</v>
      </c>
      <c r="C235" s="39">
        <v>5</v>
      </c>
      <c r="D235" s="41">
        <v>101.22</v>
      </c>
      <c r="E235" s="39" t="str">
        <f t="shared" si="12"/>
        <v>CUST0243</v>
      </c>
      <c r="F235" s="40">
        <f t="shared" ca="1" si="13"/>
        <v>126.59086805560219</v>
      </c>
      <c r="G235" s="39">
        <f t="shared" si="14"/>
        <v>5</v>
      </c>
      <c r="H235" s="41">
        <f t="shared" si="15"/>
        <v>101.22</v>
      </c>
    </row>
    <row r="236" spans="1:8">
      <c r="A236" s="39" t="s">
        <v>254</v>
      </c>
      <c r="B236" s="45">
        <v>46114.409131944398</v>
      </c>
      <c r="C236" s="39">
        <v>2</v>
      </c>
      <c r="D236" s="41">
        <v>33.43</v>
      </c>
      <c r="E236" s="39" t="str">
        <f t="shared" si="12"/>
        <v>CUST0244</v>
      </c>
      <c r="F236" s="40">
        <f t="shared" ca="1" si="13"/>
        <v>186.59086805560219</v>
      </c>
      <c r="G236" s="39">
        <f t="shared" si="14"/>
        <v>2</v>
      </c>
      <c r="H236" s="41">
        <f t="shared" si="15"/>
        <v>33.43</v>
      </c>
    </row>
    <row r="237" spans="1:8">
      <c r="A237" s="39" t="s">
        <v>642</v>
      </c>
      <c r="B237" s="45">
        <v>46290.409131944398</v>
      </c>
      <c r="C237" s="39">
        <v>3</v>
      </c>
      <c r="D237" s="41">
        <v>70.489999999999995</v>
      </c>
      <c r="E237" s="39" t="str">
        <f t="shared" si="12"/>
        <v>CUST0245</v>
      </c>
      <c r="F237" s="40">
        <f t="shared" ca="1" si="13"/>
        <v>10.590868055602186</v>
      </c>
      <c r="G237" s="39">
        <f t="shared" si="14"/>
        <v>3</v>
      </c>
      <c r="H237" s="41">
        <f t="shared" si="15"/>
        <v>70.489999999999995</v>
      </c>
    </row>
    <row r="238" spans="1:8">
      <c r="A238" s="39" t="s">
        <v>448</v>
      </c>
      <c r="B238" s="45">
        <v>46137.409131944398</v>
      </c>
      <c r="C238" s="39">
        <v>3</v>
      </c>
      <c r="D238" s="41">
        <v>37.869999999999997</v>
      </c>
      <c r="E238" s="39" t="str">
        <f t="shared" si="12"/>
        <v>CUST0246</v>
      </c>
      <c r="F238" s="40">
        <f t="shared" ca="1" si="13"/>
        <v>163.59086805560219</v>
      </c>
      <c r="G238" s="39">
        <f t="shared" si="14"/>
        <v>3</v>
      </c>
      <c r="H238" s="41">
        <f t="shared" si="15"/>
        <v>37.869999999999997</v>
      </c>
    </row>
    <row r="239" spans="1:8">
      <c r="A239" s="39" t="s">
        <v>351</v>
      </c>
      <c r="B239" s="45">
        <v>46240.409131944398</v>
      </c>
      <c r="C239" s="39">
        <v>2</v>
      </c>
      <c r="D239" s="41">
        <v>11.96</v>
      </c>
      <c r="E239" s="39" t="str">
        <f t="shared" si="12"/>
        <v>CUST0247</v>
      </c>
      <c r="F239" s="40">
        <f t="shared" ca="1" si="13"/>
        <v>60.590868055602186</v>
      </c>
      <c r="G239" s="39">
        <f t="shared" si="14"/>
        <v>2</v>
      </c>
      <c r="H239" s="41">
        <f t="shared" si="15"/>
        <v>11.96</v>
      </c>
    </row>
    <row r="240" spans="1:8">
      <c r="A240" s="39" t="s">
        <v>357</v>
      </c>
      <c r="B240" s="45">
        <v>46199.409131944398</v>
      </c>
      <c r="C240" s="39">
        <v>2</v>
      </c>
      <c r="D240" s="41">
        <v>49.29</v>
      </c>
      <c r="E240" s="39" t="str">
        <f t="shared" si="12"/>
        <v>CUST0249</v>
      </c>
      <c r="F240" s="40">
        <f t="shared" ca="1" si="13"/>
        <v>101.59086805560219</v>
      </c>
      <c r="G240" s="39">
        <f t="shared" si="14"/>
        <v>2</v>
      </c>
      <c r="H240" s="41">
        <f t="shared" si="15"/>
        <v>49.29</v>
      </c>
    </row>
    <row r="241" spans="1:8">
      <c r="A241" s="39" t="s">
        <v>528</v>
      </c>
      <c r="B241" s="45">
        <v>46221.409131944398</v>
      </c>
      <c r="C241" s="39">
        <v>3</v>
      </c>
      <c r="D241" s="41">
        <v>47.45</v>
      </c>
      <c r="E241" s="39" t="str">
        <f t="shared" si="12"/>
        <v>CUST0250</v>
      </c>
      <c r="F241" s="40">
        <f t="shared" ca="1" si="13"/>
        <v>79.590868055602186</v>
      </c>
      <c r="G241" s="39">
        <f t="shared" si="14"/>
        <v>3</v>
      </c>
      <c r="H241" s="41">
        <f t="shared" si="15"/>
        <v>47.45</v>
      </c>
    </row>
    <row r="242" spans="1:8">
      <c r="A242" s="39" t="s">
        <v>268</v>
      </c>
      <c r="B242" s="45">
        <v>46277.409131944398</v>
      </c>
      <c r="C242" s="39">
        <v>7</v>
      </c>
      <c r="D242" s="41">
        <v>123.67</v>
      </c>
      <c r="E242" s="39" t="str">
        <f t="shared" si="12"/>
        <v>CUST0251</v>
      </c>
      <c r="F242" s="40">
        <f t="shared" ca="1" si="13"/>
        <v>23.590868055602186</v>
      </c>
      <c r="G242" s="39">
        <f t="shared" si="14"/>
        <v>7</v>
      </c>
      <c r="H242" s="41">
        <f t="shared" si="15"/>
        <v>123.67</v>
      </c>
    </row>
    <row r="243" spans="1:8">
      <c r="A243" s="39" t="s">
        <v>143</v>
      </c>
      <c r="B243" s="45">
        <v>46071.409131944398</v>
      </c>
      <c r="C243" s="39">
        <v>2</v>
      </c>
      <c r="D243" s="41">
        <v>21.06</v>
      </c>
      <c r="E243" s="39" t="str">
        <f t="shared" si="12"/>
        <v>CUST0254</v>
      </c>
      <c r="F243" s="40">
        <f t="shared" ca="1" si="13"/>
        <v>229.59086805560219</v>
      </c>
      <c r="G243" s="39">
        <f t="shared" si="14"/>
        <v>2</v>
      </c>
      <c r="H243" s="41">
        <f t="shared" si="15"/>
        <v>21.06</v>
      </c>
    </row>
    <row r="244" spans="1:8">
      <c r="A244" s="39" t="s">
        <v>353</v>
      </c>
      <c r="B244" s="45">
        <v>46048.409131944398</v>
      </c>
      <c r="C244" s="39">
        <v>1</v>
      </c>
      <c r="D244" s="41">
        <v>11.89</v>
      </c>
      <c r="E244" s="39" t="str">
        <f t="shared" si="12"/>
        <v>CUST0255</v>
      </c>
      <c r="F244" s="40">
        <f t="shared" ca="1" si="13"/>
        <v>252.59086805560219</v>
      </c>
      <c r="G244" s="39">
        <f t="shared" si="14"/>
        <v>1</v>
      </c>
      <c r="H244" s="41">
        <f t="shared" si="15"/>
        <v>11.89</v>
      </c>
    </row>
    <row r="245" spans="1:8">
      <c r="A245" s="39" t="s">
        <v>415</v>
      </c>
      <c r="B245" s="45">
        <v>46194.409131944398</v>
      </c>
      <c r="C245" s="39">
        <v>1</v>
      </c>
      <c r="D245" s="41">
        <v>4.12</v>
      </c>
      <c r="E245" s="39" t="str">
        <f t="shared" si="12"/>
        <v>CUST0256</v>
      </c>
      <c r="F245" s="40">
        <f t="shared" ca="1" si="13"/>
        <v>106.59086805560219</v>
      </c>
      <c r="G245" s="39">
        <f t="shared" si="14"/>
        <v>1</v>
      </c>
      <c r="H245" s="41">
        <f t="shared" si="15"/>
        <v>4.12</v>
      </c>
    </row>
    <row r="246" spans="1:8">
      <c r="A246" s="39" t="s">
        <v>233</v>
      </c>
      <c r="B246" s="45">
        <v>46275.409131944398</v>
      </c>
      <c r="C246" s="39">
        <v>5</v>
      </c>
      <c r="D246" s="41">
        <v>84.58</v>
      </c>
      <c r="E246" s="39" t="str">
        <f t="shared" si="12"/>
        <v>CUST0257</v>
      </c>
      <c r="F246" s="40">
        <f t="shared" ca="1" si="13"/>
        <v>25.590868055602186</v>
      </c>
      <c r="G246" s="39">
        <f t="shared" si="14"/>
        <v>5</v>
      </c>
      <c r="H246" s="41">
        <f t="shared" si="15"/>
        <v>84.58</v>
      </c>
    </row>
    <row r="247" spans="1:8">
      <c r="A247" s="39" t="s">
        <v>791</v>
      </c>
      <c r="B247" s="45">
        <v>46049.409131944398</v>
      </c>
      <c r="C247" s="39">
        <v>1</v>
      </c>
      <c r="D247" s="41">
        <v>12.22</v>
      </c>
      <c r="E247" s="39" t="str">
        <f t="shared" si="12"/>
        <v>CUST0258</v>
      </c>
      <c r="F247" s="40">
        <f t="shared" ca="1" si="13"/>
        <v>251.59086805560219</v>
      </c>
      <c r="G247" s="39">
        <f t="shared" si="14"/>
        <v>1</v>
      </c>
      <c r="H247" s="41">
        <f t="shared" si="15"/>
        <v>12.22</v>
      </c>
    </row>
    <row r="248" spans="1:8">
      <c r="A248" s="39" t="s">
        <v>6</v>
      </c>
      <c r="B248" s="45">
        <v>46053.409131944398</v>
      </c>
      <c r="C248" s="39">
        <v>2</v>
      </c>
      <c r="D248" s="41">
        <v>59.36</v>
      </c>
      <c r="E248" s="39" t="str">
        <f t="shared" si="12"/>
        <v>CUST0259</v>
      </c>
      <c r="F248" s="40">
        <f t="shared" ca="1" si="13"/>
        <v>247.59086805560219</v>
      </c>
      <c r="G248" s="39">
        <f t="shared" si="14"/>
        <v>2</v>
      </c>
      <c r="H248" s="41">
        <f t="shared" si="15"/>
        <v>59.36</v>
      </c>
    </row>
    <row r="249" spans="1:8">
      <c r="A249" s="39" t="s">
        <v>679</v>
      </c>
      <c r="B249" s="45">
        <v>46214.409131944398</v>
      </c>
      <c r="C249" s="39">
        <v>1</v>
      </c>
      <c r="D249" s="41">
        <v>33.6</v>
      </c>
      <c r="E249" s="39" t="str">
        <f t="shared" si="12"/>
        <v>CUST0260</v>
      </c>
      <c r="F249" s="40">
        <f t="shared" ca="1" si="13"/>
        <v>86.590868055602186</v>
      </c>
      <c r="G249" s="39">
        <f t="shared" si="14"/>
        <v>1</v>
      </c>
      <c r="H249" s="41">
        <f t="shared" si="15"/>
        <v>33.6</v>
      </c>
    </row>
    <row r="250" spans="1:8">
      <c r="A250" s="39" t="s">
        <v>18</v>
      </c>
      <c r="B250" s="45">
        <v>46261.409131944398</v>
      </c>
      <c r="C250" s="39">
        <v>6</v>
      </c>
      <c r="D250" s="41">
        <v>60.89</v>
      </c>
      <c r="E250" s="39" t="str">
        <f t="shared" si="12"/>
        <v>CUST0261</v>
      </c>
      <c r="F250" s="40">
        <f t="shared" ca="1" si="13"/>
        <v>39.590868055602186</v>
      </c>
      <c r="G250" s="39">
        <f t="shared" si="14"/>
        <v>6</v>
      </c>
      <c r="H250" s="41">
        <f t="shared" si="15"/>
        <v>60.89</v>
      </c>
    </row>
    <row r="251" spans="1:8">
      <c r="A251" s="39" t="s">
        <v>694</v>
      </c>
      <c r="B251" s="45">
        <v>46293.409131944398</v>
      </c>
      <c r="C251" s="39">
        <v>5</v>
      </c>
      <c r="D251" s="41">
        <v>121.51</v>
      </c>
      <c r="E251" s="39" t="str">
        <f t="shared" si="12"/>
        <v>CUST0262</v>
      </c>
      <c r="F251" s="40">
        <f t="shared" ca="1" si="13"/>
        <v>7.5908680556021864</v>
      </c>
      <c r="G251" s="39">
        <f t="shared" si="14"/>
        <v>5</v>
      </c>
      <c r="H251" s="41">
        <f t="shared" si="15"/>
        <v>121.51</v>
      </c>
    </row>
    <row r="252" spans="1:8">
      <c r="A252" s="39" t="s">
        <v>382</v>
      </c>
      <c r="B252" s="45">
        <v>46212.409131944398</v>
      </c>
      <c r="C252" s="39">
        <v>3</v>
      </c>
      <c r="D252" s="41">
        <v>57.67</v>
      </c>
      <c r="E252" s="39" t="str">
        <f t="shared" si="12"/>
        <v>CUST0263</v>
      </c>
      <c r="F252" s="40">
        <f t="shared" ca="1" si="13"/>
        <v>88.590868055602186</v>
      </c>
      <c r="G252" s="39">
        <f t="shared" si="14"/>
        <v>3</v>
      </c>
      <c r="H252" s="41">
        <f t="shared" si="15"/>
        <v>57.67</v>
      </c>
    </row>
    <row r="253" spans="1:8">
      <c r="A253" s="39" t="s">
        <v>334</v>
      </c>
      <c r="B253" s="45">
        <v>46273.409131944398</v>
      </c>
      <c r="C253" s="39">
        <v>6</v>
      </c>
      <c r="D253" s="41">
        <v>126.84</v>
      </c>
      <c r="E253" s="39" t="str">
        <f t="shared" si="12"/>
        <v>CUST0264</v>
      </c>
      <c r="F253" s="40">
        <f t="shared" ca="1" si="13"/>
        <v>27.590868055602186</v>
      </c>
      <c r="G253" s="39">
        <f t="shared" si="14"/>
        <v>6</v>
      </c>
      <c r="H253" s="41">
        <f t="shared" si="15"/>
        <v>126.84</v>
      </c>
    </row>
    <row r="254" spans="1:8">
      <c r="A254" s="39" t="s">
        <v>37</v>
      </c>
      <c r="B254" s="45">
        <v>46295.409131944398</v>
      </c>
      <c r="C254" s="39">
        <v>2</v>
      </c>
      <c r="D254" s="41">
        <v>50.75</v>
      </c>
      <c r="E254" s="39" t="str">
        <f t="shared" si="12"/>
        <v>CUST0265</v>
      </c>
      <c r="F254" s="40">
        <f t="shared" ca="1" si="13"/>
        <v>5.5908680556021864</v>
      </c>
      <c r="G254" s="39">
        <f t="shared" si="14"/>
        <v>2</v>
      </c>
      <c r="H254" s="41">
        <f t="shared" si="15"/>
        <v>50.75</v>
      </c>
    </row>
    <row r="255" spans="1:8">
      <c r="A255" s="39" t="s">
        <v>340</v>
      </c>
      <c r="B255" s="45">
        <v>46208.409131944398</v>
      </c>
      <c r="C255" s="39">
        <v>4</v>
      </c>
      <c r="D255" s="41">
        <v>37.729999999999997</v>
      </c>
      <c r="E255" s="39" t="str">
        <f t="shared" si="12"/>
        <v>CUST0266</v>
      </c>
      <c r="F255" s="40">
        <f t="shared" ca="1" si="13"/>
        <v>92.590868055602186</v>
      </c>
      <c r="G255" s="39">
        <f t="shared" si="14"/>
        <v>4</v>
      </c>
      <c r="H255" s="41">
        <f t="shared" si="15"/>
        <v>37.729999999999997</v>
      </c>
    </row>
    <row r="256" spans="1:8">
      <c r="A256" s="39" t="s">
        <v>62</v>
      </c>
      <c r="B256" s="45">
        <v>46174.409131944398</v>
      </c>
      <c r="C256" s="39">
        <v>6</v>
      </c>
      <c r="D256" s="41">
        <v>140.88999999999999</v>
      </c>
      <c r="E256" s="39" t="str">
        <f t="shared" si="12"/>
        <v>CUST0267</v>
      </c>
      <c r="F256" s="40">
        <f t="shared" ca="1" si="13"/>
        <v>126.59086805560219</v>
      </c>
      <c r="G256" s="39">
        <f t="shared" si="14"/>
        <v>6</v>
      </c>
      <c r="H256" s="41">
        <f t="shared" si="15"/>
        <v>140.88999999999999</v>
      </c>
    </row>
    <row r="257" spans="1:8">
      <c r="A257" s="39" t="s">
        <v>487</v>
      </c>
      <c r="B257" s="45">
        <v>46088.409131944398</v>
      </c>
      <c r="C257" s="39">
        <v>3</v>
      </c>
      <c r="D257" s="41">
        <v>80.47</v>
      </c>
      <c r="E257" s="39" t="str">
        <f t="shared" si="12"/>
        <v>CUST0268</v>
      </c>
      <c r="F257" s="40">
        <f t="shared" ca="1" si="13"/>
        <v>212.59086805560219</v>
      </c>
      <c r="G257" s="39">
        <f t="shared" si="14"/>
        <v>3</v>
      </c>
      <c r="H257" s="41">
        <f t="shared" si="15"/>
        <v>80.47</v>
      </c>
    </row>
    <row r="258" spans="1:8">
      <c r="A258" s="39" t="s">
        <v>633</v>
      </c>
      <c r="B258" s="45">
        <v>46115.409131944398</v>
      </c>
      <c r="C258" s="39">
        <v>4</v>
      </c>
      <c r="D258" s="41">
        <v>70.959999999999994</v>
      </c>
      <c r="E258" s="39" t="str">
        <f t="shared" si="12"/>
        <v>CUST0269</v>
      </c>
      <c r="F258" s="40">
        <f t="shared" ca="1" si="13"/>
        <v>185.59086805560219</v>
      </c>
      <c r="G258" s="39">
        <f t="shared" si="14"/>
        <v>4</v>
      </c>
      <c r="H258" s="41">
        <f t="shared" si="15"/>
        <v>70.959999999999994</v>
      </c>
    </row>
    <row r="259" spans="1:8">
      <c r="A259" s="39" t="s">
        <v>66</v>
      </c>
      <c r="B259" s="45">
        <v>46171.409131944398</v>
      </c>
      <c r="C259" s="39">
        <v>4</v>
      </c>
      <c r="D259" s="41">
        <v>83.37</v>
      </c>
      <c r="E259" s="39" t="str">
        <f t="shared" si="12"/>
        <v>CUST0270</v>
      </c>
      <c r="F259" s="40">
        <f t="shared" ca="1" si="13"/>
        <v>129.59086805560219</v>
      </c>
      <c r="G259" s="39">
        <f t="shared" si="14"/>
        <v>4</v>
      </c>
      <c r="H259" s="41">
        <f t="shared" si="15"/>
        <v>83.37</v>
      </c>
    </row>
    <row r="260" spans="1:8">
      <c r="A260" s="39" t="s">
        <v>856</v>
      </c>
      <c r="B260" s="45">
        <v>46257.409131944398</v>
      </c>
      <c r="C260" s="39">
        <v>5</v>
      </c>
      <c r="D260" s="41">
        <v>117.98</v>
      </c>
      <c r="E260" s="39" t="str">
        <f t="shared" ref="E260:E290" si="16">A260</f>
        <v>CUST0271</v>
      </c>
      <c r="F260" s="40">
        <f t="shared" ref="F260:F290" ca="1" si="17">TODAY()-B260</f>
        <v>43.590868055602186</v>
      </c>
      <c r="G260" s="39">
        <f t="shared" ref="G260:G290" si="18">C260</f>
        <v>5</v>
      </c>
      <c r="H260" s="41">
        <f t="shared" ref="H260:H290" si="19">D260</f>
        <v>117.98</v>
      </c>
    </row>
    <row r="261" spans="1:8">
      <c r="A261" s="39" t="s">
        <v>647</v>
      </c>
      <c r="B261" s="45">
        <v>45940.409131944398</v>
      </c>
      <c r="C261" s="39">
        <v>1</v>
      </c>
      <c r="D261" s="41">
        <v>4.37</v>
      </c>
      <c r="E261" s="39" t="str">
        <f t="shared" si="16"/>
        <v>CUST0272</v>
      </c>
      <c r="F261" s="40">
        <f t="shared" ca="1" si="17"/>
        <v>360.59086805560219</v>
      </c>
      <c r="G261" s="39">
        <f t="shared" si="18"/>
        <v>1</v>
      </c>
      <c r="H261" s="41">
        <f t="shared" si="19"/>
        <v>4.37</v>
      </c>
    </row>
    <row r="262" spans="1:8">
      <c r="A262" s="39" t="s">
        <v>35</v>
      </c>
      <c r="B262" s="45">
        <v>46108.409131944398</v>
      </c>
      <c r="C262" s="39">
        <v>3</v>
      </c>
      <c r="D262" s="41">
        <v>55.45</v>
      </c>
      <c r="E262" s="39" t="str">
        <f t="shared" si="16"/>
        <v>CUST0273</v>
      </c>
      <c r="F262" s="40">
        <f t="shared" ca="1" si="17"/>
        <v>192.59086805560219</v>
      </c>
      <c r="G262" s="39">
        <f t="shared" si="18"/>
        <v>3</v>
      </c>
      <c r="H262" s="41">
        <f t="shared" si="19"/>
        <v>55.45</v>
      </c>
    </row>
    <row r="263" spans="1:8">
      <c r="A263" s="39" t="s">
        <v>636</v>
      </c>
      <c r="B263" s="45">
        <v>46261.409131944398</v>
      </c>
      <c r="C263" s="39">
        <v>3</v>
      </c>
      <c r="D263" s="41">
        <v>71.959999999999994</v>
      </c>
      <c r="E263" s="39" t="str">
        <f t="shared" si="16"/>
        <v>CUST0274</v>
      </c>
      <c r="F263" s="40">
        <f t="shared" ca="1" si="17"/>
        <v>39.590868055602186</v>
      </c>
      <c r="G263" s="39">
        <f t="shared" si="18"/>
        <v>3</v>
      </c>
      <c r="H263" s="41">
        <f t="shared" si="19"/>
        <v>71.959999999999994</v>
      </c>
    </row>
    <row r="264" spans="1:8">
      <c r="A264" s="39" t="s">
        <v>562</v>
      </c>
      <c r="B264" s="45">
        <v>46051.409131944398</v>
      </c>
      <c r="C264" s="39">
        <v>2</v>
      </c>
      <c r="D264" s="41">
        <v>27.74</v>
      </c>
      <c r="E264" s="39" t="str">
        <f t="shared" si="16"/>
        <v>CUST0275</v>
      </c>
      <c r="F264" s="40">
        <f t="shared" ca="1" si="17"/>
        <v>249.59086805560219</v>
      </c>
      <c r="G264" s="39">
        <f t="shared" si="18"/>
        <v>2</v>
      </c>
      <c r="H264" s="41">
        <f t="shared" si="19"/>
        <v>27.74</v>
      </c>
    </row>
    <row r="265" spans="1:8">
      <c r="A265" s="39" t="s">
        <v>1082</v>
      </c>
      <c r="B265" s="45">
        <v>46086.409131944398</v>
      </c>
      <c r="C265" s="39">
        <v>2</v>
      </c>
      <c r="D265" s="41">
        <v>48.74</v>
      </c>
      <c r="E265" s="39" t="str">
        <f t="shared" si="16"/>
        <v>CUST0276</v>
      </c>
      <c r="F265" s="40">
        <f t="shared" ca="1" si="17"/>
        <v>214.59086805560219</v>
      </c>
      <c r="G265" s="39">
        <f t="shared" si="18"/>
        <v>2</v>
      </c>
      <c r="H265" s="41">
        <f t="shared" si="19"/>
        <v>48.74</v>
      </c>
    </row>
    <row r="266" spans="1:8">
      <c r="A266" s="39" t="s">
        <v>922</v>
      </c>
      <c r="B266" s="45">
        <v>46163.409131944398</v>
      </c>
      <c r="C266" s="39">
        <v>3</v>
      </c>
      <c r="D266" s="41">
        <v>34.479999999999997</v>
      </c>
      <c r="E266" s="39" t="str">
        <f t="shared" si="16"/>
        <v>CUST0277</v>
      </c>
      <c r="F266" s="40">
        <f t="shared" ca="1" si="17"/>
        <v>137.59086805560219</v>
      </c>
      <c r="G266" s="39">
        <f t="shared" si="18"/>
        <v>3</v>
      </c>
      <c r="H266" s="41">
        <f t="shared" si="19"/>
        <v>34.479999999999997</v>
      </c>
    </row>
    <row r="267" spans="1:8">
      <c r="A267" s="39" t="s">
        <v>450</v>
      </c>
      <c r="B267" s="45">
        <v>46214.409131944398</v>
      </c>
      <c r="C267" s="39">
        <v>2</v>
      </c>
      <c r="D267" s="41">
        <v>27.89</v>
      </c>
      <c r="E267" s="39" t="str">
        <f t="shared" si="16"/>
        <v>CUST0278</v>
      </c>
      <c r="F267" s="40">
        <f t="shared" ca="1" si="17"/>
        <v>86.590868055602186</v>
      </c>
      <c r="G267" s="39">
        <f t="shared" si="18"/>
        <v>2</v>
      </c>
      <c r="H267" s="41">
        <f t="shared" si="19"/>
        <v>27.89</v>
      </c>
    </row>
    <row r="268" spans="1:8">
      <c r="A268" s="39" t="s">
        <v>1180</v>
      </c>
      <c r="B268" s="45">
        <v>45963.409131944398</v>
      </c>
      <c r="C268" s="39">
        <v>1</v>
      </c>
      <c r="D268" s="41">
        <v>5.19</v>
      </c>
      <c r="E268" s="39" t="str">
        <f t="shared" si="16"/>
        <v>CUST0279</v>
      </c>
      <c r="F268" s="40">
        <f t="shared" ca="1" si="17"/>
        <v>337.59086805560219</v>
      </c>
      <c r="G268" s="39">
        <f t="shared" si="18"/>
        <v>1</v>
      </c>
      <c r="H268" s="41">
        <f t="shared" si="19"/>
        <v>5.19</v>
      </c>
    </row>
    <row r="269" spans="1:8">
      <c r="A269" s="39" t="s">
        <v>422</v>
      </c>
      <c r="B269" s="45">
        <v>46105.409131944398</v>
      </c>
      <c r="C269" s="39">
        <v>2</v>
      </c>
      <c r="D269" s="41">
        <v>11.09</v>
      </c>
      <c r="E269" s="39" t="str">
        <f t="shared" si="16"/>
        <v>CUST0280</v>
      </c>
      <c r="F269" s="40">
        <f t="shared" ca="1" si="17"/>
        <v>195.59086805560219</v>
      </c>
      <c r="G269" s="39">
        <f t="shared" si="18"/>
        <v>2</v>
      </c>
      <c r="H269" s="41">
        <f t="shared" si="19"/>
        <v>11.09</v>
      </c>
    </row>
    <row r="270" spans="1:8">
      <c r="A270" s="39" t="s">
        <v>444</v>
      </c>
      <c r="B270" s="45">
        <v>46103.409131944398</v>
      </c>
      <c r="C270" s="39">
        <v>3</v>
      </c>
      <c r="D270" s="41">
        <v>47.22</v>
      </c>
      <c r="E270" s="39" t="str">
        <f t="shared" si="16"/>
        <v>CUST0281</v>
      </c>
      <c r="F270" s="40">
        <f t="shared" ca="1" si="17"/>
        <v>197.59086805560219</v>
      </c>
      <c r="G270" s="39">
        <f t="shared" si="18"/>
        <v>3</v>
      </c>
      <c r="H270" s="41">
        <f t="shared" si="19"/>
        <v>47.22</v>
      </c>
    </row>
    <row r="271" spans="1:8">
      <c r="A271" s="39" t="s">
        <v>183</v>
      </c>
      <c r="B271" s="45">
        <v>46275.409131944398</v>
      </c>
      <c r="C271" s="39">
        <v>6</v>
      </c>
      <c r="D271" s="41">
        <v>70.48</v>
      </c>
      <c r="E271" s="39" t="str">
        <f t="shared" si="16"/>
        <v>CUST0282</v>
      </c>
      <c r="F271" s="40">
        <f t="shared" ca="1" si="17"/>
        <v>25.590868055602186</v>
      </c>
      <c r="G271" s="39">
        <f t="shared" si="18"/>
        <v>6</v>
      </c>
      <c r="H271" s="41">
        <f t="shared" si="19"/>
        <v>70.48</v>
      </c>
    </row>
    <row r="272" spans="1:8">
      <c r="A272" s="39" t="s">
        <v>187</v>
      </c>
      <c r="B272" s="45">
        <v>46262.409131944398</v>
      </c>
      <c r="C272" s="39">
        <v>1</v>
      </c>
      <c r="D272" s="41">
        <v>5.6</v>
      </c>
      <c r="E272" s="39" t="str">
        <f t="shared" si="16"/>
        <v>CUST0283</v>
      </c>
      <c r="F272" s="40">
        <f t="shared" ca="1" si="17"/>
        <v>38.590868055602186</v>
      </c>
      <c r="G272" s="39">
        <f t="shared" si="18"/>
        <v>1</v>
      </c>
      <c r="H272" s="41">
        <f t="shared" si="19"/>
        <v>5.6</v>
      </c>
    </row>
    <row r="273" spans="1:8">
      <c r="A273" s="39" t="s">
        <v>745</v>
      </c>
      <c r="B273" s="45">
        <v>46243.409131944398</v>
      </c>
      <c r="C273" s="39">
        <v>2</v>
      </c>
      <c r="D273" s="41">
        <v>71.95</v>
      </c>
      <c r="E273" s="39" t="str">
        <f t="shared" si="16"/>
        <v>CUST0284</v>
      </c>
      <c r="F273" s="40">
        <f t="shared" ca="1" si="17"/>
        <v>57.590868055602186</v>
      </c>
      <c r="G273" s="39">
        <f t="shared" si="18"/>
        <v>2</v>
      </c>
      <c r="H273" s="41">
        <f t="shared" si="19"/>
        <v>71.95</v>
      </c>
    </row>
    <row r="274" spans="1:8">
      <c r="A274" s="39" t="s">
        <v>281</v>
      </c>
      <c r="B274" s="45">
        <v>46215.409131944398</v>
      </c>
      <c r="C274" s="39">
        <v>8</v>
      </c>
      <c r="D274" s="41">
        <v>143.59</v>
      </c>
      <c r="E274" s="39" t="str">
        <f t="shared" si="16"/>
        <v>CUST0285</v>
      </c>
      <c r="F274" s="40">
        <f t="shared" ca="1" si="17"/>
        <v>85.590868055602186</v>
      </c>
      <c r="G274" s="39">
        <f t="shared" si="18"/>
        <v>8</v>
      </c>
      <c r="H274" s="41">
        <f t="shared" si="19"/>
        <v>143.59</v>
      </c>
    </row>
    <row r="275" spans="1:8">
      <c r="A275" s="39" t="s">
        <v>68</v>
      </c>
      <c r="B275" s="45">
        <v>46280.409131944398</v>
      </c>
      <c r="C275" s="39">
        <v>2</v>
      </c>
      <c r="D275" s="41">
        <v>15.41</v>
      </c>
      <c r="E275" s="39" t="str">
        <f t="shared" si="16"/>
        <v>CUST0286</v>
      </c>
      <c r="F275" s="40">
        <f t="shared" ca="1" si="17"/>
        <v>20.590868055602186</v>
      </c>
      <c r="G275" s="39">
        <f t="shared" si="18"/>
        <v>2</v>
      </c>
      <c r="H275" s="41">
        <f t="shared" si="19"/>
        <v>15.41</v>
      </c>
    </row>
    <row r="276" spans="1:8">
      <c r="A276" s="39" t="s">
        <v>221</v>
      </c>
      <c r="B276" s="45">
        <v>46275.409131944398</v>
      </c>
      <c r="C276" s="39">
        <v>4</v>
      </c>
      <c r="D276" s="41">
        <v>40.15</v>
      </c>
      <c r="E276" s="39" t="str">
        <f t="shared" si="16"/>
        <v>CUST0287</v>
      </c>
      <c r="F276" s="40">
        <f t="shared" ca="1" si="17"/>
        <v>25.590868055602186</v>
      </c>
      <c r="G276" s="39">
        <f t="shared" si="18"/>
        <v>4</v>
      </c>
      <c r="H276" s="41">
        <f t="shared" si="19"/>
        <v>40.15</v>
      </c>
    </row>
    <row r="277" spans="1:8">
      <c r="A277" s="39" t="s">
        <v>98</v>
      </c>
      <c r="B277" s="45">
        <v>46253.409131944398</v>
      </c>
      <c r="C277" s="39">
        <v>7</v>
      </c>
      <c r="D277" s="41">
        <v>88.53</v>
      </c>
      <c r="E277" s="39" t="str">
        <f t="shared" si="16"/>
        <v>CUST0288</v>
      </c>
      <c r="F277" s="40">
        <f t="shared" ca="1" si="17"/>
        <v>47.590868055602186</v>
      </c>
      <c r="G277" s="39">
        <f t="shared" si="18"/>
        <v>7</v>
      </c>
      <c r="H277" s="41">
        <f t="shared" si="19"/>
        <v>88.53</v>
      </c>
    </row>
    <row r="278" spans="1:8">
      <c r="A278" s="39" t="s">
        <v>134</v>
      </c>
      <c r="B278" s="45">
        <v>46217.409131944398</v>
      </c>
      <c r="C278" s="39">
        <v>7</v>
      </c>
      <c r="D278" s="41">
        <v>121.17</v>
      </c>
      <c r="E278" s="39" t="str">
        <f t="shared" si="16"/>
        <v>CUST0289</v>
      </c>
      <c r="F278" s="40">
        <f t="shared" ca="1" si="17"/>
        <v>83.590868055602186</v>
      </c>
      <c r="G278" s="39">
        <f t="shared" si="18"/>
        <v>7</v>
      </c>
      <c r="H278" s="41">
        <f t="shared" si="19"/>
        <v>121.17</v>
      </c>
    </row>
    <row r="279" spans="1:8">
      <c r="A279" s="39" t="s">
        <v>1142</v>
      </c>
      <c r="B279" s="45">
        <v>46068.409131944398</v>
      </c>
      <c r="C279" s="39">
        <v>2</v>
      </c>
      <c r="D279" s="41">
        <v>69.790000000000006</v>
      </c>
      <c r="E279" s="39" t="str">
        <f t="shared" si="16"/>
        <v>CUST0290</v>
      </c>
      <c r="F279" s="40">
        <f t="shared" ca="1" si="17"/>
        <v>232.59086805560219</v>
      </c>
      <c r="G279" s="39">
        <f t="shared" si="18"/>
        <v>2</v>
      </c>
      <c r="H279" s="41">
        <f t="shared" si="19"/>
        <v>69.790000000000006</v>
      </c>
    </row>
    <row r="280" spans="1:8">
      <c r="A280" s="39" t="s">
        <v>70</v>
      </c>
      <c r="B280" s="45">
        <v>46281.409131944398</v>
      </c>
      <c r="C280" s="39">
        <v>6</v>
      </c>
      <c r="D280" s="41">
        <v>125.53</v>
      </c>
      <c r="E280" s="39" t="str">
        <f t="shared" si="16"/>
        <v>CUST0291</v>
      </c>
      <c r="F280" s="40">
        <f t="shared" ca="1" si="17"/>
        <v>19.590868055602186</v>
      </c>
      <c r="G280" s="39">
        <f t="shared" si="18"/>
        <v>6</v>
      </c>
      <c r="H280" s="41">
        <f t="shared" si="19"/>
        <v>125.53</v>
      </c>
    </row>
    <row r="281" spans="1:8">
      <c r="A281" s="39" t="s">
        <v>181</v>
      </c>
      <c r="B281" s="45">
        <v>46236.409131944398</v>
      </c>
      <c r="C281" s="39">
        <v>3</v>
      </c>
      <c r="D281" s="41">
        <v>69.42</v>
      </c>
      <c r="E281" s="39" t="str">
        <f t="shared" si="16"/>
        <v>CUST0292</v>
      </c>
      <c r="F281" s="40">
        <f t="shared" ca="1" si="17"/>
        <v>64.590868055602186</v>
      </c>
      <c r="G281" s="39">
        <f t="shared" si="18"/>
        <v>3</v>
      </c>
      <c r="H281" s="41">
        <f t="shared" si="19"/>
        <v>69.42</v>
      </c>
    </row>
    <row r="282" spans="1:8">
      <c r="A282" s="39" t="s">
        <v>213</v>
      </c>
      <c r="B282" s="45">
        <v>46284.409131944398</v>
      </c>
      <c r="C282" s="39">
        <v>12</v>
      </c>
      <c r="D282" s="41">
        <v>190.97</v>
      </c>
      <c r="E282" s="39" t="str">
        <f t="shared" si="16"/>
        <v>CUST0293</v>
      </c>
      <c r="F282" s="40">
        <f t="shared" ca="1" si="17"/>
        <v>16.590868055602186</v>
      </c>
      <c r="G282" s="39">
        <f t="shared" si="18"/>
        <v>12</v>
      </c>
      <c r="H282" s="41">
        <f t="shared" si="19"/>
        <v>190.97</v>
      </c>
    </row>
    <row r="283" spans="1:8">
      <c r="A283" s="39" t="s">
        <v>155</v>
      </c>
      <c r="B283" s="45">
        <v>46176.409131944398</v>
      </c>
      <c r="C283" s="39">
        <v>3</v>
      </c>
      <c r="D283" s="41">
        <v>59.38</v>
      </c>
      <c r="E283" s="39" t="str">
        <f t="shared" si="16"/>
        <v>CUST0294</v>
      </c>
      <c r="F283" s="40">
        <f t="shared" ca="1" si="17"/>
        <v>124.59086805560219</v>
      </c>
      <c r="G283" s="39">
        <f t="shared" si="18"/>
        <v>3</v>
      </c>
      <c r="H283" s="41">
        <f t="shared" si="19"/>
        <v>59.38</v>
      </c>
    </row>
    <row r="284" spans="1:8">
      <c r="A284" s="39" t="s">
        <v>92</v>
      </c>
      <c r="B284" s="45">
        <v>46210.409131944398</v>
      </c>
      <c r="C284" s="39">
        <v>5</v>
      </c>
      <c r="D284" s="41">
        <v>57.31</v>
      </c>
      <c r="E284" s="39" t="str">
        <f t="shared" si="16"/>
        <v>CUST0295</v>
      </c>
      <c r="F284" s="40">
        <f t="shared" ca="1" si="17"/>
        <v>90.590868055602186</v>
      </c>
      <c r="G284" s="39">
        <f t="shared" si="18"/>
        <v>5</v>
      </c>
      <c r="H284" s="41">
        <f t="shared" si="19"/>
        <v>57.31</v>
      </c>
    </row>
    <row r="285" spans="1:8">
      <c r="A285" s="39" t="s">
        <v>58</v>
      </c>
      <c r="B285" s="45">
        <v>46255.409131944398</v>
      </c>
      <c r="C285" s="39">
        <v>5</v>
      </c>
      <c r="D285" s="41">
        <v>97.41</v>
      </c>
      <c r="E285" s="39" t="str">
        <f t="shared" si="16"/>
        <v>CUST0296</v>
      </c>
      <c r="F285" s="40">
        <f t="shared" ca="1" si="17"/>
        <v>45.590868055602186</v>
      </c>
      <c r="G285" s="39">
        <f t="shared" si="18"/>
        <v>5</v>
      </c>
      <c r="H285" s="41">
        <f t="shared" si="19"/>
        <v>97.41</v>
      </c>
    </row>
    <row r="286" spans="1:8">
      <c r="A286" s="39" t="s">
        <v>228</v>
      </c>
      <c r="B286" s="45">
        <v>46295.409131944398</v>
      </c>
      <c r="C286" s="39">
        <v>2</v>
      </c>
      <c r="D286" s="41">
        <v>41.12</v>
      </c>
      <c r="E286" s="39" t="str">
        <f t="shared" si="16"/>
        <v>CUST0297</v>
      </c>
      <c r="F286" s="40">
        <f t="shared" ca="1" si="17"/>
        <v>5.5908680556021864</v>
      </c>
      <c r="G286" s="39">
        <f t="shared" si="18"/>
        <v>2</v>
      </c>
      <c r="H286" s="41">
        <f t="shared" si="19"/>
        <v>41.12</v>
      </c>
    </row>
    <row r="287" spans="1:8">
      <c r="A287" s="39" t="s">
        <v>1052</v>
      </c>
      <c r="B287" s="45">
        <v>46253.409131944398</v>
      </c>
      <c r="C287" s="39">
        <v>2</v>
      </c>
      <c r="D287" s="41">
        <v>28.03</v>
      </c>
      <c r="E287" s="39" t="str">
        <f t="shared" si="16"/>
        <v>CUST0298</v>
      </c>
      <c r="F287" s="40">
        <f t="shared" ca="1" si="17"/>
        <v>47.590868055602186</v>
      </c>
      <c r="G287" s="39">
        <f t="shared" si="18"/>
        <v>2</v>
      </c>
      <c r="H287" s="41">
        <f t="shared" si="19"/>
        <v>28.03</v>
      </c>
    </row>
    <row r="288" spans="1:8">
      <c r="A288" s="39" t="s">
        <v>185</v>
      </c>
      <c r="B288" s="45">
        <v>46295.409131944398</v>
      </c>
      <c r="C288" s="39">
        <v>2</v>
      </c>
      <c r="D288" s="41">
        <v>36.299999999999997</v>
      </c>
      <c r="E288" s="39" t="str">
        <f t="shared" si="16"/>
        <v>CUST0299</v>
      </c>
      <c r="F288" s="40">
        <f t="shared" ca="1" si="17"/>
        <v>5.5908680556021864</v>
      </c>
      <c r="G288" s="39">
        <f t="shared" si="18"/>
        <v>2</v>
      </c>
      <c r="H288" s="41">
        <f t="shared" si="19"/>
        <v>36.299999999999997</v>
      </c>
    </row>
    <row r="289" spans="1:8">
      <c r="A289" s="39" t="s">
        <v>1000</v>
      </c>
      <c r="B289" s="45">
        <v>46186.409131944398</v>
      </c>
      <c r="C289" s="39">
        <v>2</v>
      </c>
      <c r="D289" s="41">
        <v>48.06</v>
      </c>
      <c r="E289" s="39" t="str">
        <f t="shared" si="16"/>
        <v>CUST0300</v>
      </c>
      <c r="F289" s="40">
        <f t="shared" ca="1" si="17"/>
        <v>114.59086805560219</v>
      </c>
      <c r="G289" s="39">
        <f t="shared" si="18"/>
        <v>2</v>
      </c>
      <c r="H289" s="41">
        <f t="shared" si="19"/>
        <v>48.06</v>
      </c>
    </row>
    <row r="290" spans="1:8">
      <c r="A290" s="39" t="s">
        <v>1310</v>
      </c>
      <c r="B290" s="45">
        <v>46300.409131944398</v>
      </c>
      <c r="C290" s="39">
        <v>1000</v>
      </c>
      <c r="D290" s="41">
        <v>17209.439999999999</v>
      </c>
      <c r="E290" s="42" t="str">
        <f t="shared" si="16"/>
        <v>Grand Total</v>
      </c>
      <c r="F290" s="43">
        <f t="shared" ca="1" si="17"/>
        <v>0.59086805560218636</v>
      </c>
      <c r="G290" s="42">
        <f t="shared" si="18"/>
        <v>1000</v>
      </c>
      <c r="H290" s="44">
        <f t="shared" si="19"/>
        <v>17209.439999999999</v>
      </c>
    </row>
  </sheetData>
  <pageMargins left="0.75" right="0.75" top="1" bottom="1" header="0.5" footer="0.5"/>
  <ignoredErrors>
    <ignoredError sqref="F3:F29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390"/>
  <sheetViews>
    <sheetView tabSelected="1" topLeftCell="A259" workbookViewId="0">
      <selection activeCell="C25" sqref="C25"/>
      <pivotSelection pane="bottomRight" showHeader="1" extendable="1" activeRow="24" activeCol="2" previousRow="24" previousCol="2" click="1" r:id="rId1">
        <pivotArea dataOnly="0" outline="0" axis="axisValues" fieldPosition="0"/>
      </pivotSelection>
    </sheetView>
  </sheetViews>
  <sheetFormatPr defaultColWidth="8.7265625" defaultRowHeight="14.5"/>
  <cols>
    <col min="1" max="1" width="24.08984375" bestFit="1" customWidth="1"/>
    <col min="2" max="2" width="19.7265625" bestFit="1" customWidth="1"/>
    <col min="3" max="3" width="21.453125" bestFit="1" customWidth="1"/>
    <col min="4" max="4" width="16.54296875" style="1" bestFit="1" customWidth="1"/>
    <col min="5" max="5" width="19.453125" bestFit="1" customWidth="1"/>
    <col min="6" max="6" width="21.26953125" style="3" bestFit="1" customWidth="1"/>
    <col min="7" max="7" width="19.6328125" bestFit="1" customWidth="1"/>
    <col min="8" max="8" width="21.453125" bestFit="1" customWidth="1"/>
    <col min="9" max="9" width="25.54296875" bestFit="1" customWidth="1"/>
  </cols>
  <sheetData>
    <row r="3" spans="1:5">
      <c r="A3" s="1" t="s">
        <v>1306</v>
      </c>
      <c r="B3" s="1" t="s">
        <v>1311</v>
      </c>
    </row>
    <row r="4" spans="1:5">
      <c r="A4" s="1" t="s">
        <v>1312</v>
      </c>
      <c r="B4" s="1">
        <v>13</v>
      </c>
    </row>
    <row r="5" spans="1:5">
      <c r="A5" s="1" t="s">
        <v>1313</v>
      </c>
      <c r="B5" s="1">
        <v>61</v>
      </c>
    </row>
    <row r="6" spans="1:5">
      <c r="A6" s="1" t="s">
        <v>1314</v>
      </c>
      <c r="B6" s="1">
        <v>75</v>
      </c>
    </row>
    <row r="7" spans="1:5">
      <c r="A7" s="1" t="s">
        <v>1315</v>
      </c>
      <c r="B7" s="1">
        <v>57</v>
      </c>
    </row>
    <row r="8" spans="1:5">
      <c r="A8" s="1" t="s">
        <v>1316</v>
      </c>
      <c r="B8" s="1">
        <v>81</v>
      </c>
    </row>
    <row r="9" spans="1:5">
      <c r="A9" s="1" t="s">
        <v>1310</v>
      </c>
      <c r="B9" s="1">
        <v>287</v>
      </c>
    </row>
    <row r="12" spans="1:5">
      <c r="A12">
        <v>4</v>
      </c>
    </row>
    <row r="13" spans="1:5">
      <c r="A13" s="11" t="s">
        <v>1333</v>
      </c>
      <c r="B13" s="12" t="s">
        <v>1325</v>
      </c>
      <c r="C13" s="12" t="s">
        <v>1317</v>
      </c>
      <c r="D13" s="12" t="s">
        <v>1318</v>
      </c>
      <c r="E13" s="12" t="s">
        <v>1319</v>
      </c>
    </row>
    <row r="14" spans="1:5">
      <c r="A14" s="25" t="s">
        <v>1312</v>
      </c>
      <c r="B14" s="12">
        <v>13</v>
      </c>
      <c r="C14" s="14">
        <v>4.5296167247386762E-2</v>
      </c>
      <c r="D14" s="17">
        <v>138.69999999999999</v>
      </c>
      <c r="E14" s="14">
        <v>8.0595301183536486E-3</v>
      </c>
    </row>
    <row r="15" spans="1:5">
      <c r="A15" s="25" t="s">
        <v>1313</v>
      </c>
      <c r="B15" s="12">
        <v>61</v>
      </c>
      <c r="C15" s="14">
        <v>0.21254355400696864</v>
      </c>
      <c r="D15" s="17">
        <v>6763.9699999999984</v>
      </c>
      <c r="E15" s="14">
        <v>0.39303835569315437</v>
      </c>
    </row>
    <row r="16" spans="1:5">
      <c r="A16" s="25" t="s">
        <v>1314</v>
      </c>
      <c r="B16" s="12">
        <v>75</v>
      </c>
      <c r="C16" s="14">
        <v>0.26132404181184671</v>
      </c>
      <c r="D16" s="17">
        <v>5209.37</v>
      </c>
      <c r="E16" s="14">
        <v>0.30270421350142712</v>
      </c>
    </row>
    <row r="17" spans="1:6">
      <c r="A17" s="25" t="s">
        <v>1315</v>
      </c>
      <c r="B17" s="12">
        <v>57</v>
      </c>
      <c r="C17" s="14">
        <v>0.19860627177700349</v>
      </c>
      <c r="D17" s="17">
        <v>1348.15</v>
      </c>
      <c r="E17" s="14">
        <v>7.8337819243392004E-2</v>
      </c>
    </row>
    <row r="18" spans="1:6">
      <c r="A18" s="25" t="s">
        <v>1316</v>
      </c>
      <c r="B18" s="12">
        <v>81</v>
      </c>
      <c r="C18" s="14">
        <v>0.28222996515679444</v>
      </c>
      <c r="D18" s="17">
        <v>3749.2499999999986</v>
      </c>
      <c r="E18" s="14">
        <v>0.21786008144367272</v>
      </c>
    </row>
    <row r="19" spans="1:6">
      <c r="A19" s="25" t="s">
        <v>1310</v>
      </c>
      <c r="B19" s="12">
        <v>287</v>
      </c>
      <c r="C19" s="14">
        <v>1</v>
      </c>
      <c r="D19" s="17">
        <v>17209.439999999999</v>
      </c>
      <c r="E19" s="14">
        <v>1</v>
      </c>
    </row>
    <row r="24" spans="1:6">
      <c r="A24">
        <v>5</v>
      </c>
      <c r="B24" s="1" t="s">
        <v>1320</v>
      </c>
      <c r="C24" s="1"/>
      <c r="E24" s="1"/>
    </row>
    <row r="25" spans="1:6">
      <c r="A25" s="26" t="s">
        <v>1298</v>
      </c>
      <c r="B25" s="27" t="s">
        <v>1306</v>
      </c>
      <c r="C25" s="27" t="s">
        <v>1318</v>
      </c>
      <c r="D25" s="28" t="s">
        <v>1321</v>
      </c>
      <c r="E25" s="28" t="s">
        <v>1322</v>
      </c>
      <c r="F25" s="29" t="s">
        <v>1323</v>
      </c>
    </row>
    <row r="26" spans="1:6">
      <c r="A26" s="30" t="s">
        <v>213</v>
      </c>
      <c r="B26" s="5" t="s">
        <v>1313</v>
      </c>
      <c r="C26" s="6">
        <v>190.97</v>
      </c>
      <c r="D26" s="7">
        <f>SUM($C$26:C26)</f>
        <v>190.97</v>
      </c>
      <c r="E26" s="8">
        <f>D26/$D$312</f>
        <v>1.1096816630872364E-2</v>
      </c>
      <c r="F26" s="31">
        <f>ROWS($A$26:A26)/COUNTA($A$26:$A$312)</f>
        <v>3.4843205574912892E-3</v>
      </c>
    </row>
    <row r="27" spans="1:6">
      <c r="A27" s="30" t="s">
        <v>560</v>
      </c>
      <c r="B27" s="5" t="s">
        <v>1313</v>
      </c>
      <c r="C27" s="6">
        <v>187.09</v>
      </c>
      <c r="D27" s="7">
        <f>SUM($C$26:C27)</f>
        <v>378.06</v>
      </c>
      <c r="E27" s="8">
        <f t="shared" ref="E27:E90" si="0">D27/$D$312</f>
        <v>2.1968175605946515E-2</v>
      </c>
      <c r="F27" s="31">
        <f>ROWS($A$26:A27)/COUNTA($A$26:$A$312)</f>
        <v>6.9686411149825784E-3</v>
      </c>
    </row>
    <row r="28" spans="1:6">
      <c r="A28" s="30" t="s">
        <v>108</v>
      </c>
      <c r="B28" s="5" t="s">
        <v>1313</v>
      </c>
      <c r="C28" s="6">
        <v>170.41</v>
      </c>
      <c r="D28" s="7">
        <f>SUM($C$26:C28)</f>
        <v>548.47</v>
      </c>
      <c r="E28" s="8">
        <f t="shared" si="0"/>
        <v>3.1870299091661336E-2</v>
      </c>
      <c r="F28" s="31">
        <f>ROWS($A$26:A28)/COUNTA($A$26:$A$312)</f>
        <v>1.0452961672473868E-2</v>
      </c>
    </row>
    <row r="29" spans="1:6">
      <c r="A29" s="30" t="s">
        <v>118</v>
      </c>
      <c r="B29" s="5" t="s">
        <v>1313</v>
      </c>
      <c r="C29" s="6">
        <v>167.44</v>
      </c>
      <c r="D29" s="7">
        <f>SUM($C$26:C29)</f>
        <v>715.91000000000008</v>
      </c>
      <c r="E29" s="8">
        <f t="shared" si="0"/>
        <v>4.1599842876932684E-2</v>
      </c>
      <c r="F29" s="31">
        <f>ROWS($A$26:A29)/COUNTA($A$26:$A$312)</f>
        <v>1.3937282229965157E-2</v>
      </c>
    </row>
    <row r="30" spans="1:6">
      <c r="A30" s="30" t="s">
        <v>94</v>
      </c>
      <c r="B30" s="5" t="s">
        <v>1313</v>
      </c>
      <c r="C30" s="6">
        <v>164.74</v>
      </c>
      <c r="D30" s="7">
        <f>SUM($C$26:C30)</f>
        <v>880.65000000000009</v>
      </c>
      <c r="E30" s="8">
        <f t="shared" si="0"/>
        <v>5.1172496025437234E-2</v>
      </c>
      <c r="F30" s="31">
        <f>ROWS($A$26:A30)/COUNTA($A$26:$A$312)</f>
        <v>1.7421602787456445E-2</v>
      </c>
    </row>
    <row r="31" spans="1:6">
      <c r="A31" s="30" t="s">
        <v>161</v>
      </c>
      <c r="B31" s="5" t="s">
        <v>1313</v>
      </c>
      <c r="C31" s="6">
        <v>158.80000000000001</v>
      </c>
      <c r="D31" s="7">
        <f>SUM($C$26:C31)</f>
        <v>1039.45</v>
      </c>
      <c r="E31" s="8">
        <f t="shared" si="0"/>
        <v>6.0399989773054823E-2</v>
      </c>
      <c r="F31" s="31">
        <f>ROWS($A$26:A31)/COUNTA($A$26:$A$312)</f>
        <v>2.0905923344947737E-2</v>
      </c>
    </row>
    <row r="32" spans="1:6">
      <c r="A32" s="30" t="s">
        <v>248</v>
      </c>
      <c r="B32" s="5" t="s">
        <v>1313</v>
      </c>
      <c r="C32" s="6">
        <v>150.87</v>
      </c>
      <c r="D32" s="7">
        <f>SUM($C$26:C32)</f>
        <v>1190.3200000000002</v>
      </c>
      <c r="E32" s="8">
        <f t="shared" si="0"/>
        <v>6.9166689909724008E-2</v>
      </c>
      <c r="F32" s="31">
        <f>ROWS($A$26:A32)/COUNTA($A$26:$A$312)</f>
        <v>2.4390243902439025E-2</v>
      </c>
    </row>
    <row r="33" spans="1:6">
      <c r="A33" s="30" t="s">
        <v>281</v>
      </c>
      <c r="B33" s="5" t="s">
        <v>1313</v>
      </c>
      <c r="C33" s="6">
        <v>143.59</v>
      </c>
      <c r="D33" s="7">
        <f>SUM($C$26:C33)</f>
        <v>1333.91</v>
      </c>
      <c r="E33" s="8">
        <f t="shared" si="0"/>
        <v>7.7510366403555297E-2</v>
      </c>
      <c r="F33" s="31">
        <f>ROWS($A$26:A33)/COUNTA($A$26:$A$312)</f>
        <v>2.7874564459930314E-2</v>
      </c>
    </row>
    <row r="34" spans="1:6">
      <c r="A34" s="30" t="s">
        <v>537</v>
      </c>
      <c r="B34" s="5" t="s">
        <v>1314</v>
      </c>
      <c r="C34" s="6">
        <v>142.38</v>
      </c>
      <c r="D34" s="7">
        <f>SUM($C$26:C34)</f>
        <v>1476.29</v>
      </c>
      <c r="E34" s="8">
        <f t="shared" si="0"/>
        <v>8.5783732649057767E-2</v>
      </c>
      <c r="F34" s="31">
        <f>ROWS($A$26:A34)/COUNTA($A$26:$A$312)</f>
        <v>3.1358885017421602E-2</v>
      </c>
    </row>
    <row r="35" spans="1:6">
      <c r="A35" s="30" t="s">
        <v>62</v>
      </c>
      <c r="B35" s="5" t="s">
        <v>1314</v>
      </c>
      <c r="C35" s="6">
        <v>140.88999999999999</v>
      </c>
      <c r="D35" s="7">
        <f>SUM($C$26:C35)</f>
        <v>1617.1799999999998</v>
      </c>
      <c r="E35" s="8">
        <f t="shared" si="0"/>
        <v>9.3970518506122258E-2</v>
      </c>
      <c r="F35" s="31">
        <f>ROWS($A$26:A35)/COUNTA($A$26:$A$312)</f>
        <v>3.484320557491289E-2</v>
      </c>
    </row>
    <row r="36" spans="1:6">
      <c r="A36" s="30" t="s">
        <v>439</v>
      </c>
      <c r="B36" s="5" t="s">
        <v>1313</v>
      </c>
      <c r="C36" s="6">
        <v>139.02000000000001</v>
      </c>
      <c r="D36" s="7">
        <f>SUM($C$26:C36)</f>
        <v>1756.1999999999998</v>
      </c>
      <c r="E36" s="8">
        <f t="shared" si="0"/>
        <v>0.10204864307031494</v>
      </c>
      <c r="F36" s="31">
        <f>ROWS($A$26:A36)/COUNTA($A$26:$A$312)</f>
        <v>3.8327526132404179E-2</v>
      </c>
    </row>
    <row r="37" spans="1:6">
      <c r="A37" s="30" t="s">
        <v>331</v>
      </c>
      <c r="B37" s="5" t="s">
        <v>1313</v>
      </c>
      <c r="C37" s="6">
        <v>137.26</v>
      </c>
      <c r="D37" s="7">
        <f>SUM($C$26:C37)</f>
        <v>1893.4599999999998</v>
      </c>
      <c r="E37" s="8">
        <f t="shared" si="0"/>
        <v>0.11002449818239296</v>
      </c>
      <c r="F37" s="31">
        <f>ROWS($A$26:A37)/COUNTA($A$26:$A$312)</f>
        <v>4.1811846689895474E-2</v>
      </c>
    </row>
    <row r="38" spans="1:6">
      <c r="A38" s="30" t="s">
        <v>132</v>
      </c>
      <c r="B38" s="5" t="s">
        <v>1313</v>
      </c>
      <c r="C38" s="6">
        <v>132.83000000000001</v>
      </c>
      <c r="D38" s="7">
        <f>SUM($C$26:C38)</f>
        <v>2026.2899999999997</v>
      </c>
      <c r="E38" s="8">
        <f t="shared" si="0"/>
        <v>0.11774293643488694</v>
      </c>
      <c r="F38" s="31">
        <f>ROWS($A$26:A38)/COUNTA($A$26:$A$312)</f>
        <v>4.5296167247386762E-2</v>
      </c>
    </row>
    <row r="39" spans="1:6">
      <c r="A39" s="30" t="s">
        <v>96</v>
      </c>
      <c r="B39" s="5" t="s">
        <v>1313</v>
      </c>
      <c r="C39" s="6">
        <v>132.01</v>
      </c>
      <c r="D39" s="7">
        <f>SUM($C$26:C39)</f>
        <v>2158.2999999999997</v>
      </c>
      <c r="E39" s="8">
        <f t="shared" si="0"/>
        <v>0.12541372641991841</v>
      </c>
      <c r="F39" s="31">
        <f>ROWS($A$26:A39)/COUNTA($A$26:$A$312)</f>
        <v>4.878048780487805E-2</v>
      </c>
    </row>
    <row r="40" spans="1:6">
      <c r="A40" s="30" t="s">
        <v>337</v>
      </c>
      <c r="B40" s="5" t="s">
        <v>1313</v>
      </c>
      <c r="C40" s="6">
        <v>131.69</v>
      </c>
      <c r="D40" s="7">
        <f>SUM($C$26:C40)</f>
        <v>2289.9899999999998</v>
      </c>
      <c r="E40" s="8">
        <f t="shared" si="0"/>
        <v>0.13306592195911088</v>
      </c>
      <c r="F40" s="31">
        <f>ROWS($A$26:A40)/COUNTA($A$26:$A$312)</f>
        <v>5.2264808362369339E-2</v>
      </c>
    </row>
    <row r="41" spans="1:6">
      <c r="A41" s="30" t="s">
        <v>225</v>
      </c>
      <c r="B41" s="5" t="s">
        <v>1313</v>
      </c>
      <c r="C41" s="6">
        <v>130.91999999999999</v>
      </c>
      <c r="D41" s="7">
        <f>SUM($C$26:C41)</f>
        <v>2420.91</v>
      </c>
      <c r="E41" s="8">
        <f t="shared" si="0"/>
        <v>0.14067337461300317</v>
      </c>
      <c r="F41" s="31">
        <f>ROWS($A$26:A41)/COUNTA($A$26:$A$312)</f>
        <v>5.5749128919860627E-2</v>
      </c>
    </row>
    <row r="42" spans="1:6">
      <c r="A42" s="30" t="s">
        <v>192</v>
      </c>
      <c r="B42" s="5" t="s">
        <v>1313</v>
      </c>
      <c r="C42" s="6">
        <v>128.11000000000001</v>
      </c>
      <c r="D42" s="7">
        <f>SUM($C$26:C42)</f>
        <v>2549.02</v>
      </c>
      <c r="E42" s="8">
        <f t="shared" si="0"/>
        <v>0.14811754478937147</v>
      </c>
      <c r="F42" s="31">
        <f>ROWS($A$26:A42)/COUNTA($A$26:$A$312)</f>
        <v>5.9233449477351915E-2</v>
      </c>
    </row>
    <row r="43" spans="1:6">
      <c r="A43" s="30" t="s">
        <v>519</v>
      </c>
      <c r="B43" s="5" t="s">
        <v>1313</v>
      </c>
      <c r="C43" s="6">
        <v>126.89</v>
      </c>
      <c r="D43" s="7">
        <f>SUM($C$26:C43)</f>
        <v>2675.91</v>
      </c>
      <c r="E43" s="8">
        <f t="shared" si="0"/>
        <v>0.15549082364097852</v>
      </c>
      <c r="F43" s="31">
        <f>ROWS($A$26:A43)/COUNTA($A$26:$A$312)</f>
        <v>6.2717770034843204E-2</v>
      </c>
    </row>
    <row r="44" spans="1:6">
      <c r="A44" s="30" t="s">
        <v>334</v>
      </c>
      <c r="B44" s="5" t="s">
        <v>1313</v>
      </c>
      <c r="C44" s="6">
        <v>126.84</v>
      </c>
      <c r="D44" s="7">
        <f>SUM($C$26:C44)</f>
        <v>2802.75</v>
      </c>
      <c r="E44" s="8">
        <f t="shared" si="0"/>
        <v>0.16286119711042321</v>
      </c>
      <c r="F44" s="31">
        <f>ROWS($A$26:A44)/COUNTA($A$26:$A$312)</f>
        <v>6.6202090592334492E-2</v>
      </c>
    </row>
    <row r="45" spans="1:6">
      <c r="A45" s="30" t="s">
        <v>70</v>
      </c>
      <c r="B45" s="5" t="s">
        <v>1313</v>
      </c>
      <c r="C45" s="6">
        <v>125.53</v>
      </c>
      <c r="D45" s="7">
        <f>SUM($C$26:C45)</f>
        <v>2928.28</v>
      </c>
      <c r="E45" s="8">
        <f t="shared" si="0"/>
        <v>0.17015544956721437</v>
      </c>
      <c r="F45" s="31">
        <f>ROWS($A$26:A45)/COUNTA($A$26:$A$312)</f>
        <v>6.968641114982578E-2</v>
      </c>
    </row>
    <row r="46" spans="1:6">
      <c r="A46" s="30" t="s">
        <v>268</v>
      </c>
      <c r="B46" s="5" t="s">
        <v>1313</v>
      </c>
      <c r="C46" s="6">
        <v>123.67</v>
      </c>
      <c r="D46" s="7">
        <f>SUM($C$26:C46)</f>
        <v>3051.9500000000003</v>
      </c>
      <c r="E46" s="8">
        <f t="shared" si="0"/>
        <v>0.17734162180756619</v>
      </c>
      <c r="F46" s="31">
        <f>ROWS($A$26:A46)/COUNTA($A$26:$A$312)</f>
        <v>7.3170731707317069E-2</v>
      </c>
    </row>
    <row r="47" spans="1:6">
      <c r="A47" s="30" t="s">
        <v>31</v>
      </c>
      <c r="B47" s="5" t="s">
        <v>1313</v>
      </c>
      <c r="C47" s="6">
        <v>123.51</v>
      </c>
      <c r="D47" s="7">
        <f>SUM($C$26:C47)</f>
        <v>3175.4600000000005</v>
      </c>
      <c r="E47" s="8">
        <f t="shared" si="0"/>
        <v>0.18451849682499849</v>
      </c>
      <c r="F47" s="31">
        <f>ROWS($A$26:A47)/COUNTA($A$26:$A$312)</f>
        <v>7.6655052264808357E-2</v>
      </c>
    </row>
    <row r="48" spans="1:6">
      <c r="A48" s="30" t="s">
        <v>303</v>
      </c>
      <c r="B48" s="5" t="s">
        <v>1314</v>
      </c>
      <c r="C48" s="6">
        <v>123.08</v>
      </c>
      <c r="D48" s="7">
        <f>SUM($C$26:C48)</f>
        <v>3298.5400000000004</v>
      </c>
      <c r="E48" s="8">
        <f t="shared" si="0"/>
        <v>0.1916703855558346</v>
      </c>
      <c r="F48" s="31">
        <f>ROWS($A$26:A48)/COUNTA($A$26:$A$312)</f>
        <v>8.0139372822299645E-2</v>
      </c>
    </row>
    <row r="49" spans="1:6">
      <c r="A49" s="30" t="s">
        <v>454</v>
      </c>
      <c r="B49" s="5" t="s">
        <v>1313</v>
      </c>
      <c r="C49" s="6">
        <v>123.07</v>
      </c>
      <c r="D49" s="7">
        <f>SUM($C$26:C49)</f>
        <v>3421.6100000000006</v>
      </c>
      <c r="E49" s="8">
        <f t="shared" si="0"/>
        <v>0.19882169321023824</v>
      </c>
      <c r="F49" s="31">
        <f>ROWS($A$26:A49)/COUNTA($A$26:$A$312)</f>
        <v>8.3623693379790948E-2</v>
      </c>
    </row>
    <row r="50" spans="1:6">
      <c r="A50" s="30" t="s">
        <v>279</v>
      </c>
      <c r="B50" s="5" t="s">
        <v>1313</v>
      </c>
      <c r="C50" s="6">
        <v>122.91</v>
      </c>
      <c r="D50" s="7">
        <f>SUM($C$26:C50)</f>
        <v>3544.5200000000004</v>
      </c>
      <c r="E50" s="8">
        <f t="shared" si="0"/>
        <v>0.20596370364172234</v>
      </c>
      <c r="F50" s="31">
        <f>ROWS($A$26:A50)/COUNTA($A$26:$A$312)</f>
        <v>8.7108013937282236E-2</v>
      </c>
    </row>
    <row r="51" spans="1:6">
      <c r="A51" s="30" t="s">
        <v>460</v>
      </c>
      <c r="B51" s="5" t="s">
        <v>1313</v>
      </c>
      <c r="C51" s="6">
        <v>122.55</v>
      </c>
      <c r="D51" s="7">
        <f>SUM($C$26:C51)</f>
        <v>3667.0700000000006</v>
      </c>
      <c r="E51" s="8">
        <f t="shared" si="0"/>
        <v>0.21308479532163757</v>
      </c>
      <c r="F51" s="31">
        <f>ROWS($A$26:A51)/COUNTA($A$26:$A$312)</f>
        <v>9.0592334494773524E-2</v>
      </c>
    </row>
    <row r="52" spans="1:6">
      <c r="A52" s="30" t="s">
        <v>694</v>
      </c>
      <c r="B52" s="5" t="s">
        <v>1313</v>
      </c>
      <c r="C52" s="6">
        <v>121.51</v>
      </c>
      <c r="D52" s="7">
        <f>SUM($C$26:C52)</f>
        <v>3788.5800000000008</v>
      </c>
      <c r="E52" s="8">
        <f t="shared" si="0"/>
        <v>0.22014545505257596</v>
      </c>
      <c r="F52" s="31">
        <f>ROWS($A$26:A52)/COUNTA($A$26:$A$312)</f>
        <v>9.4076655052264813E-2</v>
      </c>
    </row>
    <row r="53" spans="1:6">
      <c r="A53" s="30" t="s">
        <v>134</v>
      </c>
      <c r="B53" s="5" t="s">
        <v>1313</v>
      </c>
      <c r="C53" s="6">
        <v>121.17</v>
      </c>
      <c r="D53" s="7">
        <f>SUM($C$26:C53)</f>
        <v>3909.7500000000009</v>
      </c>
      <c r="E53" s="8">
        <f t="shared" si="0"/>
        <v>0.22718635818481037</v>
      </c>
      <c r="F53" s="31">
        <f>ROWS($A$26:A53)/COUNTA($A$26:$A$312)</f>
        <v>9.7560975609756101E-2</v>
      </c>
    </row>
    <row r="54" spans="1:6">
      <c r="A54" s="30" t="s">
        <v>856</v>
      </c>
      <c r="B54" s="5" t="s">
        <v>1313</v>
      </c>
      <c r="C54" s="6">
        <v>117.98</v>
      </c>
      <c r="D54" s="7">
        <f>SUM($C$26:C54)</f>
        <v>4027.7300000000009</v>
      </c>
      <c r="E54" s="8">
        <f t="shared" si="0"/>
        <v>0.23404189793508695</v>
      </c>
      <c r="F54" s="31">
        <f>ROWS($A$26:A54)/COUNTA($A$26:$A$312)</f>
        <v>0.10104529616724739</v>
      </c>
    </row>
    <row r="55" spans="1:6">
      <c r="A55" s="30" t="s">
        <v>300</v>
      </c>
      <c r="B55" s="5" t="s">
        <v>1313</v>
      </c>
      <c r="C55" s="6">
        <v>116.16</v>
      </c>
      <c r="D55" s="7">
        <f>SUM($C$26:C55)</f>
        <v>4143.8900000000012</v>
      </c>
      <c r="E55" s="8">
        <f t="shared" si="0"/>
        <v>0.2407916817746541</v>
      </c>
      <c r="F55" s="31">
        <f>ROWS($A$26:A55)/COUNTA($A$26:$A$312)</f>
        <v>0.10452961672473868</v>
      </c>
    </row>
    <row r="56" spans="1:6">
      <c r="A56" s="30" t="s">
        <v>12</v>
      </c>
      <c r="B56" s="5" t="s">
        <v>1313</v>
      </c>
      <c r="C56" s="6">
        <v>114.12</v>
      </c>
      <c r="D56" s="7">
        <f>SUM($C$26:C56)</f>
        <v>4258.0100000000011</v>
      </c>
      <c r="E56" s="8">
        <f t="shared" si="0"/>
        <v>0.24742292602199742</v>
      </c>
      <c r="F56" s="31">
        <f>ROWS($A$26:A56)/COUNTA($A$26:$A$312)</f>
        <v>0.10801393728222997</v>
      </c>
    </row>
    <row r="57" spans="1:6">
      <c r="A57" s="30" t="s">
        <v>219</v>
      </c>
      <c r="B57" s="5" t="s">
        <v>1314</v>
      </c>
      <c r="C57" s="6">
        <v>113.27</v>
      </c>
      <c r="D57" s="7">
        <f>SUM($C$26:C57)</f>
        <v>4371.2800000000016</v>
      </c>
      <c r="E57" s="8">
        <f t="shared" si="0"/>
        <v>0.25400477877258087</v>
      </c>
      <c r="F57" s="31">
        <f>ROWS($A$26:A57)/COUNTA($A$26:$A$312)</f>
        <v>0.11149825783972125</v>
      </c>
    </row>
    <row r="58" spans="1:6">
      <c r="A58" s="30" t="s">
        <v>256</v>
      </c>
      <c r="B58" s="5" t="s">
        <v>1313</v>
      </c>
      <c r="C58" s="6">
        <v>109.94</v>
      </c>
      <c r="D58" s="7">
        <f>SUM($C$26:C58)</f>
        <v>4481.2200000000012</v>
      </c>
      <c r="E58" s="8">
        <f t="shared" si="0"/>
        <v>0.26039313307115186</v>
      </c>
      <c r="F58" s="31">
        <f>ROWS($A$26:A58)/COUNTA($A$26:$A$312)</f>
        <v>0.11498257839721254</v>
      </c>
    </row>
    <row r="59" spans="1:6">
      <c r="A59" s="30" t="s">
        <v>558</v>
      </c>
      <c r="B59" s="5" t="s">
        <v>1313</v>
      </c>
      <c r="C59" s="6">
        <v>108.92</v>
      </c>
      <c r="D59" s="7">
        <f>SUM($C$26:C59)</f>
        <v>4590.1400000000012</v>
      </c>
      <c r="E59" s="8">
        <f t="shared" si="0"/>
        <v>0.26672221757361098</v>
      </c>
      <c r="F59" s="31">
        <f>ROWS($A$26:A59)/COUNTA($A$26:$A$312)</f>
        <v>0.11846689895470383</v>
      </c>
    </row>
    <row r="60" spans="1:6">
      <c r="A60" s="30" t="s">
        <v>130</v>
      </c>
      <c r="B60" s="5" t="s">
        <v>1313</v>
      </c>
      <c r="C60" s="6">
        <v>108.18</v>
      </c>
      <c r="D60" s="7">
        <f>SUM($C$26:C60)</f>
        <v>4698.3200000000015</v>
      </c>
      <c r="E60" s="8">
        <f t="shared" si="0"/>
        <v>0.27300830242006735</v>
      </c>
      <c r="F60" s="31">
        <f>ROWS($A$26:A60)/COUNTA($A$26:$A$312)</f>
        <v>0.12195121951219512</v>
      </c>
    </row>
    <row r="61" spans="1:6">
      <c r="A61" s="30" t="s">
        <v>418</v>
      </c>
      <c r="B61" s="5" t="s">
        <v>1313</v>
      </c>
      <c r="C61" s="6">
        <v>108.13</v>
      </c>
      <c r="D61" s="7">
        <f>SUM($C$26:C61)</f>
        <v>4806.4500000000016</v>
      </c>
      <c r="E61" s="8">
        <f t="shared" si="0"/>
        <v>0.27929148188436137</v>
      </c>
      <c r="F61" s="31">
        <f>ROWS($A$26:A61)/COUNTA($A$26:$A$312)</f>
        <v>0.12543554006968641</v>
      </c>
    </row>
    <row r="62" spans="1:6">
      <c r="A62" s="30" t="s">
        <v>601</v>
      </c>
      <c r="B62" s="5" t="s">
        <v>1313</v>
      </c>
      <c r="C62" s="6">
        <v>107.85</v>
      </c>
      <c r="D62" s="7">
        <f>SUM($C$26:C62)</f>
        <v>4914.300000000002</v>
      </c>
      <c r="E62" s="8">
        <f t="shared" si="0"/>
        <v>0.28555839120854626</v>
      </c>
      <c r="F62" s="31">
        <f>ROWS($A$26:A62)/COUNTA($A$26:$A$312)</f>
        <v>0.1289198606271777</v>
      </c>
    </row>
    <row r="63" spans="1:6">
      <c r="A63" s="30" t="s">
        <v>88</v>
      </c>
      <c r="B63" s="5" t="s">
        <v>1314</v>
      </c>
      <c r="C63" s="6">
        <v>106.78</v>
      </c>
      <c r="D63" s="7">
        <f>SUM($C$26:C63)</f>
        <v>5021.0800000000017</v>
      </c>
      <c r="E63" s="8">
        <f t="shared" si="0"/>
        <v>0.29176312535445686</v>
      </c>
      <c r="F63" s="31">
        <f>ROWS($A$26:A63)/COUNTA($A$26:$A$312)</f>
        <v>0.13240418118466898</v>
      </c>
    </row>
    <row r="64" spans="1:6">
      <c r="A64" s="30" t="s">
        <v>349</v>
      </c>
      <c r="B64" s="5" t="s">
        <v>1313</v>
      </c>
      <c r="C64" s="6">
        <v>106.62</v>
      </c>
      <c r="D64" s="7">
        <f>SUM($C$26:C64)</f>
        <v>5127.7000000000016</v>
      </c>
      <c r="E64" s="8">
        <f t="shared" si="0"/>
        <v>0.29795856227744799</v>
      </c>
      <c r="F64" s="31">
        <f>ROWS($A$26:A64)/COUNTA($A$26:$A$312)</f>
        <v>0.13588850174216027</v>
      </c>
    </row>
    <row r="65" spans="1:6">
      <c r="A65" s="30" t="s">
        <v>409</v>
      </c>
      <c r="B65" s="5" t="s">
        <v>1313</v>
      </c>
      <c r="C65" s="6">
        <v>106.08</v>
      </c>
      <c r="D65" s="7">
        <f>SUM($C$26:C65)</f>
        <v>5233.7800000000016</v>
      </c>
      <c r="E65" s="8">
        <f t="shared" si="0"/>
        <v>0.30412262107308569</v>
      </c>
      <c r="F65" s="31">
        <f>ROWS($A$26:A65)/COUNTA($A$26:$A$312)</f>
        <v>0.13937282229965156</v>
      </c>
    </row>
    <row r="66" spans="1:6">
      <c r="A66" s="30" t="s">
        <v>380</v>
      </c>
      <c r="B66" s="5" t="s">
        <v>1314</v>
      </c>
      <c r="C66" s="6">
        <v>104.63</v>
      </c>
      <c r="D66" s="7">
        <f>SUM($C$26:C66)</f>
        <v>5338.4100000000017</v>
      </c>
      <c r="E66" s="8">
        <f t="shared" si="0"/>
        <v>0.31020242378601537</v>
      </c>
      <c r="F66" s="31">
        <f>ROWS($A$26:A66)/COUNTA($A$26:$A$312)</f>
        <v>0.14285714285714285</v>
      </c>
    </row>
    <row r="67" spans="1:6">
      <c r="A67" s="30" t="s">
        <v>9</v>
      </c>
      <c r="B67" s="5" t="s">
        <v>1313</v>
      </c>
      <c r="C67" s="6">
        <v>103.61</v>
      </c>
      <c r="D67" s="7">
        <f>SUM($C$26:C67)</f>
        <v>5442.0200000000013</v>
      </c>
      <c r="E67" s="8">
        <f t="shared" si="0"/>
        <v>0.31622295670283312</v>
      </c>
      <c r="F67" s="31">
        <f>ROWS($A$26:A67)/COUNTA($A$26:$A$312)</f>
        <v>0.14634146341463414</v>
      </c>
    </row>
    <row r="68" spans="1:6">
      <c r="A68" s="30" t="s">
        <v>441</v>
      </c>
      <c r="B68" s="5" t="s">
        <v>1313</v>
      </c>
      <c r="C68" s="6">
        <v>101.46</v>
      </c>
      <c r="D68" s="7">
        <f>SUM($C$26:C68)</f>
        <v>5543.4800000000014</v>
      </c>
      <c r="E68" s="8">
        <f t="shared" si="0"/>
        <v>0.3221185581866699</v>
      </c>
      <c r="F68" s="31">
        <f>ROWS($A$26:A68)/COUNTA($A$26:$A$312)</f>
        <v>0.14982578397212543</v>
      </c>
    </row>
    <row r="69" spans="1:6">
      <c r="A69" s="30" t="s">
        <v>179</v>
      </c>
      <c r="B69" s="5" t="s">
        <v>1314</v>
      </c>
      <c r="C69" s="6">
        <v>101.22</v>
      </c>
      <c r="D69" s="7">
        <f>SUM($C$26:C69)</f>
        <v>5644.7000000000016</v>
      </c>
      <c r="E69" s="8">
        <f t="shared" si="0"/>
        <v>0.32800021383612743</v>
      </c>
      <c r="F69" s="31">
        <f>ROWS($A$26:A69)/COUNTA($A$26:$A$312)</f>
        <v>0.15331010452961671</v>
      </c>
    </row>
    <row r="70" spans="1:6">
      <c r="A70" s="30" t="s">
        <v>429</v>
      </c>
      <c r="B70" s="5" t="s">
        <v>1313</v>
      </c>
      <c r="C70" s="6">
        <v>99.24</v>
      </c>
      <c r="D70" s="7">
        <f>SUM($C$26:C70)</f>
        <v>5743.9400000000014</v>
      </c>
      <c r="E70" s="8">
        <f t="shared" si="0"/>
        <v>0.33376681635195593</v>
      </c>
      <c r="F70" s="31">
        <f>ROWS($A$26:A70)/COUNTA($A$26:$A$312)</f>
        <v>0.156794425087108</v>
      </c>
    </row>
    <row r="71" spans="1:6">
      <c r="A71" s="30" t="s">
        <v>389</v>
      </c>
      <c r="B71" s="5" t="s">
        <v>1313</v>
      </c>
      <c r="C71" s="6">
        <v>98.48</v>
      </c>
      <c r="D71" s="7">
        <f>SUM($C$26:C71)</f>
        <v>5842.420000000001</v>
      </c>
      <c r="E71" s="8">
        <f t="shared" si="0"/>
        <v>0.33948925705891675</v>
      </c>
      <c r="F71" s="31">
        <f>ROWS($A$26:A71)/COUNTA($A$26:$A$312)</f>
        <v>0.16027874564459929</v>
      </c>
    </row>
    <row r="72" spans="1:6">
      <c r="A72" s="30" t="s">
        <v>58</v>
      </c>
      <c r="B72" s="5" t="s">
        <v>1313</v>
      </c>
      <c r="C72" s="6">
        <v>97.41</v>
      </c>
      <c r="D72" s="7">
        <f>SUM($C$26:C72)</f>
        <v>5939.8300000000008</v>
      </c>
      <c r="E72" s="8">
        <f t="shared" si="0"/>
        <v>0.34514952258760329</v>
      </c>
      <c r="F72" s="31">
        <f>ROWS($A$26:A72)/COUNTA($A$26:$A$312)</f>
        <v>0.16376306620209058</v>
      </c>
    </row>
    <row r="73" spans="1:6">
      <c r="A73" s="30" t="s">
        <v>820</v>
      </c>
      <c r="B73" s="5" t="s">
        <v>1313</v>
      </c>
      <c r="C73" s="6">
        <v>97.14</v>
      </c>
      <c r="D73" s="7">
        <f>SUM($C$26:C73)</f>
        <v>6036.9700000000012</v>
      </c>
      <c r="E73" s="8">
        <f t="shared" si="0"/>
        <v>0.35079409905261322</v>
      </c>
      <c r="F73" s="31">
        <f>ROWS($A$26:A73)/COUNTA($A$26:$A$312)</f>
        <v>0.1672473867595819</v>
      </c>
    </row>
    <row r="74" spans="1:6">
      <c r="A74" s="30" t="s">
        <v>106</v>
      </c>
      <c r="B74" s="5" t="s">
        <v>1314</v>
      </c>
      <c r="C74" s="6">
        <v>96.28</v>
      </c>
      <c r="D74" s="7">
        <f>SUM($C$26:C74)</f>
        <v>6133.2500000000009</v>
      </c>
      <c r="E74" s="8">
        <f t="shared" si="0"/>
        <v>0.3563887029444307</v>
      </c>
      <c r="F74" s="31">
        <f>ROWS($A$26:A74)/COUNTA($A$26:$A$312)</f>
        <v>0.17073170731707318</v>
      </c>
    </row>
    <row r="75" spans="1:6">
      <c r="A75" s="30" t="s">
        <v>585</v>
      </c>
      <c r="B75" s="5" t="s">
        <v>1314</v>
      </c>
      <c r="C75" s="6">
        <v>95.76</v>
      </c>
      <c r="D75" s="7">
        <f>SUM($C$26:C75)</f>
        <v>6229.0100000000011</v>
      </c>
      <c r="E75" s="8">
        <f t="shared" si="0"/>
        <v>0.36195309086175986</v>
      </c>
      <c r="F75" s="31">
        <f>ROWS($A$26:A75)/COUNTA($A$26:$A$312)</f>
        <v>0.17421602787456447</v>
      </c>
    </row>
    <row r="76" spans="1:6">
      <c r="A76" s="30" t="s">
        <v>368</v>
      </c>
      <c r="B76" s="5" t="s">
        <v>1314</v>
      </c>
      <c r="C76" s="6">
        <v>95.01</v>
      </c>
      <c r="D76" s="7">
        <f>SUM($C$26:C76)</f>
        <v>6324.0200000000013</v>
      </c>
      <c r="E76" s="8">
        <f t="shared" si="0"/>
        <v>0.3674738980466537</v>
      </c>
      <c r="F76" s="31">
        <f>ROWS($A$26:A76)/COUNTA($A$26:$A$312)</f>
        <v>0.17770034843205576</v>
      </c>
    </row>
    <row r="77" spans="1:6">
      <c r="A77" s="30" t="s">
        <v>86</v>
      </c>
      <c r="B77" s="5" t="s">
        <v>1313</v>
      </c>
      <c r="C77" s="6">
        <v>92.73</v>
      </c>
      <c r="D77" s="7">
        <f>SUM($C$26:C77)</f>
        <v>6416.7500000000009</v>
      </c>
      <c r="E77" s="8">
        <f t="shared" si="0"/>
        <v>0.37286221980494449</v>
      </c>
      <c r="F77" s="31">
        <f>ROWS($A$26:A77)/COUNTA($A$26:$A$312)</f>
        <v>0.18118466898954705</v>
      </c>
    </row>
    <row r="78" spans="1:6">
      <c r="A78" s="30" t="s">
        <v>110</v>
      </c>
      <c r="B78" s="5" t="s">
        <v>1313</v>
      </c>
      <c r="C78" s="6">
        <v>92.68</v>
      </c>
      <c r="D78" s="7">
        <f>SUM($C$26:C78)</f>
        <v>6509.4300000000012</v>
      </c>
      <c r="E78" s="8">
        <f t="shared" si="0"/>
        <v>0.37824763618107299</v>
      </c>
      <c r="F78" s="31">
        <f>ROWS($A$26:A78)/COUNTA($A$26:$A$312)</f>
        <v>0.18466898954703834</v>
      </c>
    </row>
    <row r="79" spans="1:6">
      <c r="A79" s="30" t="s">
        <v>272</v>
      </c>
      <c r="B79" s="5" t="s">
        <v>1313</v>
      </c>
      <c r="C79" s="6">
        <v>92.44</v>
      </c>
      <c r="D79" s="7">
        <f>SUM($C$26:C79)</f>
        <v>6601.8700000000008</v>
      </c>
      <c r="E79" s="8">
        <f t="shared" si="0"/>
        <v>0.38361910672282212</v>
      </c>
      <c r="F79" s="31">
        <f>ROWS($A$26:A79)/COUNTA($A$26:$A$312)</f>
        <v>0.18815331010452963</v>
      </c>
    </row>
    <row r="80" spans="1:6">
      <c r="A80" s="30" t="s">
        <v>217</v>
      </c>
      <c r="B80" s="5" t="s">
        <v>1314</v>
      </c>
      <c r="C80" s="6">
        <v>91.44</v>
      </c>
      <c r="D80" s="7">
        <f>SUM($C$26:C80)</f>
        <v>6693.31</v>
      </c>
      <c r="E80" s="8">
        <f t="shared" si="0"/>
        <v>0.38893246962132433</v>
      </c>
      <c r="F80" s="31">
        <f>ROWS($A$26:A80)/COUNTA($A$26:$A$312)</f>
        <v>0.19163763066202091</v>
      </c>
    </row>
    <row r="81" spans="1:6">
      <c r="A81" s="30" t="s">
        <v>795</v>
      </c>
      <c r="B81" s="5" t="s">
        <v>1314</v>
      </c>
      <c r="C81" s="6">
        <v>91.19</v>
      </c>
      <c r="D81" s="7">
        <f>SUM($C$26:C81)</f>
        <v>6784.5</v>
      </c>
      <c r="E81" s="8">
        <f t="shared" si="0"/>
        <v>0.39423130560901476</v>
      </c>
      <c r="F81" s="31">
        <f>ROWS($A$26:A81)/COUNTA($A$26:$A$312)</f>
        <v>0.1951219512195122</v>
      </c>
    </row>
    <row r="82" spans="1:6">
      <c r="A82" s="30" t="s">
        <v>190</v>
      </c>
      <c r="B82" s="5" t="s">
        <v>1313</v>
      </c>
      <c r="C82" s="6">
        <v>90.62</v>
      </c>
      <c r="D82" s="7">
        <f>SUM($C$26:C82)</f>
        <v>6875.12</v>
      </c>
      <c r="E82" s="8">
        <f t="shared" si="0"/>
        <v>0.39949702024005451</v>
      </c>
      <c r="F82" s="31">
        <f>ROWS($A$26:A82)/COUNTA($A$26:$A$312)</f>
        <v>0.19860627177700349</v>
      </c>
    </row>
    <row r="83" spans="1:6">
      <c r="A83" s="30" t="s">
        <v>284</v>
      </c>
      <c r="B83" s="5" t="s">
        <v>1316</v>
      </c>
      <c r="C83" s="6">
        <v>90.49</v>
      </c>
      <c r="D83" s="7">
        <f>SUM($C$26:C83)</f>
        <v>6965.61</v>
      </c>
      <c r="E83" s="8">
        <f t="shared" si="0"/>
        <v>0.40475518087747209</v>
      </c>
      <c r="F83" s="31">
        <f>ROWS($A$26:A83)/COUNTA($A$26:$A$312)</f>
        <v>0.20209059233449478</v>
      </c>
    </row>
    <row r="84" spans="1:6">
      <c r="A84" s="30" t="s">
        <v>171</v>
      </c>
      <c r="B84" s="5" t="s">
        <v>1314</v>
      </c>
      <c r="C84" s="6">
        <v>90.01</v>
      </c>
      <c r="D84" s="7">
        <f>SUM($C$26:C84)</f>
        <v>7055.62</v>
      </c>
      <c r="E84" s="8">
        <f t="shared" si="0"/>
        <v>0.40998544984613117</v>
      </c>
      <c r="F84" s="31">
        <f>ROWS($A$26:A84)/COUNTA($A$26:$A$312)</f>
        <v>0.20557491289198607</v>
      </c>
    </row>
    <row r="85" spans="1:6">
      <c r="A85" s="30" t="s">
        <v>264</v>
      </c>
      <c r="B85" s="5" t="s">
        <v>1314</v>
      </c>
      <c r="C85" s="6">
        <v>90.01</v>
      </c>
      <c r="D85" s="7">
        <f>SUM($C$26:C85)</f>
        <v>7145.63</v>
      </c>
      <c r="E85" s="8">
        <f t="shared" si="0"/>
        <v>0.41521571881479025</v>
      </c>
      <c r="F85" s="31">
        <f>ROWS($A$26:A85)/COUNTA($A$26:$A$312)</f>
        <v>0.20905923344947736</v>
      </c>
    </row>
    <row r="86" spans="1:6">
      <c r="A86" s="30" t="s">
        <v>60</v>
      </c>
      <c r="B86" s="5" t="s">
        <v>1314</v>
      </c>
      <c r="C86" s="6">
        <v>88.92</v>
      </c>
      <c r="D86" s="7">
        <f>SUM($C$26:C86)</f>
        <v>7234.55</v>
      </c>
      <c r="E86" s="8">
        <f t="shared" si="0"/>
        <v>0.4203826504523101</v>
      </c>
      <c r="F86" s="31">
        <f>ROWS($A$26:A86)/COUNTA($A$26:$A$312)</f>
        <v>0.21254355400696864</v>
      </c>
    </row>
    <row r="87" spans="1:6">
      <c r="A87" s="30" t="s">
        <v>398</v>
      </c>
      <c r="B87" s="5" t="s">
        <v>1313</v>
      </c>
      <c r="C87" s="6">
        <v>88.89</v>
      </c>
      <c r="D87" s="7">
        <f>SUM($C$26:C87)</f>
        <v>7323.4400000000005</v>
      </c>
      <c r="E87" s="8">
        <f t="shared" si="0"/>
        <v>0.4255478388605326</v>
      </c>
      <c r="F87" s="31">
        <f>ROWS($A$26:A87)/COUNTA($A$26:$A$312)</f>
        <v>0.21602787456445993</v>
      </c>
    </row>
    <row r="88" spans="1:6">
      <c r="A88" s="30" t="s">
        <v>374</v>
      </c>
      <c r="B88" s="5" t="s">
        <v>1313</v>
      </c>
      <c r="C88" s="6">
        <v>88.56</v>
      </c>
      <c r="D88" s="7">
        <f>SUM($C$26:C88)</f>
        <v>7412.0000000000009</v>
      </c>
      <c r="E88" s="8">
        <f t="shared" si="0"/>
        <v>0.43069385174648361</v>
      </c>
      <c r="F88" s="31">
        <f>ROWS($A$26:A88)/COUNTA($A$26:$A$312)</f>
        <v>0.21951219512195122</v>
      </c>
    </row>
    <row r="89" spans="1:6">
      <c r="A89" s="30" t="s">
        <v>98</v>
      </c>
      <c r="B89" s="5" t="s">
        <v>1313</v>
      </c>
      <c r="C89" s="6">
        <v>88.53</v>
      </c>
      <c r="D89" s="7">
        <f>SUM($C$26:C89)</f>
        <v>7500.5300000000007</v>
      </c>
      <c r="E89" s="8">
        <f t="shared" si="0"/>
        <v>0.43583812140313716</v>
      </c>
      <c r="F89" s="31">
        <f>ROWS($A$26:A89)/COUNTA($A$26:$A$312)</f>
        <v>0.22299651567944251</v>
      </c>
    </row>
    <row r="90" spans="1:6">
      <c r="A90" s="30" t="s">
        <v>250</v>
      </c>
      <c r="B90" s="5" t="s">
        <v>1314</v>
      </c>
      <c r="C90" s="6">
        <v>88.16</v>
      </c>
      <c r="D90" s="7">
        <f>SUM($C$26:C90)</f>
        <v>7588.6900000000005</v>
      </c>
      <c r="E90" s="8">
        <f t="shared" si="0"/>
        <v>0.44096089123178933</v>
      </c>
      <c r="F90" s="31">
        <f>ROWS($A$26:A90)/COUNTA($A$26:$A$312)</f>
        <v>0.2264808362369338</v>
      </c>
    </row>
    <row r="91" spans="1:6">
      <c r="A91" s="30" t="s">
        <v>223</v>
      </c>
      <c r="B91" s="5" t="s">
        <v>1314</v>
      </c>
      <c r="C91" s="6">
        <v>86.68</v>
      </c>
      <c r="D91" s="7">
        <f>SUM($C$26:C91)</f>
        <v>7675.3700000000008</v>
      </c>
      <c r="E91" s="8">
        <f t="shared" ref="E91:E154" si="1">D91/$D$312</f>
        <v>0.44599766174843603</v>
      </c>
      <c r="F91" s="31">
        <f>ROWS($A$26:A91)/COUNTA($A$26:$A$312)</f>
        <v>0.22996515679442509</v>
      </c>
    </row>
    <row r="92" spans="1:6">
      <c r="A92" s="30" t="s">
        <v>321</v>
      </c>
      <c r="B92" s="5" t="s">
        <v>1313</v>
      </c>
      <c r="C92" s="6">
        <v>86.22</v>
      </c>
      <c r="D92" s="7">
        <f>SUM($C$26:C92)</f>
        <v>7761.5900000000011</v>
      </c>
      <c r="E92" s="8">
        <f t="shared" si="1"/>
        <v>0.45100770274918911</v>
      </c>
      <c r="F92" s="31">
        <f>ROWS($A$26:A92)/COUNTA($A$26:$A$312)</f>
        <v>0.23344947735191637</v>
      </c>
    </row>
    <row r="93" spans="1:6">
      <c r="A93" s="30" t="s">
        <v>112</v>
      </c>
      <c r="B93" s="5" t="s">
        <v>1314</v>
      </c>
      <c r="C93" s="6">
        <v>85.98</v>
      </c>
      <c r="D93" s="7">
        <f>SUM($C$26:C93)</f>
        <v>7847.5700000000006</v>
      </c>
      <c r="E93" s="8">
        <f t="shared" si="1"/>
        <v>0.45600379791556289</v>
      </c>
      <c r="F93" s="31">
        <f>ROWS($A$26:A93)/COUNTA($A$26:$A$312)</f>
        <v>0.23693379790940766</v>
      </c>
    </row>
    <row r="94" spans="1:6">
      <c r="A94" s="30" t="s">
        <v>359</v>
      </c>
      <c r="B94" s="5" t="s">
        <v>1314</v>
      </c>
      <c r="C94" s="6">
        <v>85.9</v>
      </c>
      <c r="D94" s="7">
        <f>SUM($C$26:C94)</f>
        <v>7933.47</v>
      </c>
      <c r="E94" s="8">
        <f t="shared" si="1"/>
        <v>0.46099524447047691</v>
      </c>
      <c r="F94" s="31">
        <f>ROWS($A$26:A94)/COUNTA($A$26:$A$312)</f>
        <v>0.24041811846689895</v>
      </c>
    </row>
    <row r="95" spans="1:6">
      <c r="A95" s="30" t="s">
        <v>74</v>
      </c>
      <c r="B95" s="5" t="s">
        <v>1314</v>
      </c>
      <c r="C95" s="6">
        <v>85.34</v>
      </c>
      <c r="D95" s="7">
        <f>SUM($C$26:C95)</f>
        <v>8018.81</v>
      </c>
      <c r="E95" s="8">
        <f t="shared" si="1"/>
        <v>0.46595415074517266</v>
      </c>
      <c r="F95" s="31">
        <f>ROWS($A$26:A95)/COUNTA($A$26:$A$312)</f>
        <v>0.24390243902439024</v>
      </c>
    </row>
    <row r="96" spans="1:6">
      <c r="A96" s="30" t="s">
        <v>157</v>
      </c>
      <c r="B96" s="5" t="s">
        <v>1313</v>
      </c>
      <c r="C96" s="6">
        <v>85.34</v>
      </c>
      <c r="D96" s="7">
        <f>SUM($C$26:C96)</f>
        <v>8104.1500000000005</v>
      </c>
      <c r="E96" s="8">
        <f t="shared" si="1"/>
        <v>0.47091305701986841</v>
      </c>
      <c r="F96" s="31">
        <f>ROWS($A$26:A96)/COUNTA($A$26:$A$312)</f>
        <v>0.24738675958188153</v>
      </c>
    </row>
    <row r="97" spans="1:6">
      <c r="A97" s="30" t="s">
        <v>246</v>
      </c>
      <c r="B97" s="5" t="s">
        <v>1313</v>
      </c>
      <c r="C97" s="6">
        <v>85.24</v>
      </c>
      <c r="D97" s="7">
        <f>SUM($C$26:C97)</f>
        <v>8189.39</v>
      </c>
      <c r="E97" s="8">
        <f t="shared" si="1"/>
        <v>0.47586615253023945</v>
      </c>
      <c r="F97" s="31">
        <f>ROWS($A$26:A97)/COUNTA($A$26:$A$312)</f>
        <v>0.25087108013937282</v>
      </c>
    </row>
    <row r="98" spans="1:6">
      <c r="A98" s="30" t="s">
        <v>233</v>
      </c>
      <c r="B98" s="5" t="s">
        <v>1313</v>
      </c>
      <c r="C98" s="6">
        <v>84.58</v>
      </c>
      <c r="D98" s="7">
        <f>SUM($C$26:C98)</f>
        <v>8273.9700000000012</v>
      </c>
      <c r="E98" s="8">
        <f t="shared" si="1"/>
        <v>0.48078089699606757</v>
      </c>
      <c r="F98" s="31">
        <f>ROWS($A$26:A98)/COUNTA($A$26:$A$312)</f>
        <v>0.25435540069686413</v>
      </c>
    </row>
    <row r="99" spans="1:6">
      <c r="A99" s="30" t="s">
        <v>848</v>
      </c>
      <c r="B99" s="5" t="s">
        <v>1316</v>
      </c>
      <c r="C99" s="6">
        <v>83.66</v>
      </c>
      <c r="D99" s="7">
        <f>SUM($C$26:C99)</f>
        <v>8357.630000000001</v>
      </c>
      <c r="E99" s="8">
        <f t="shared" si="1"/>
        <v>0.48564218243010843</v>
      </c>
      <c r="F99" s="31">
        <f>ROWS($A$26:A99)/COUNTA($A$26:$A$312)</f>
        <v>0.25783972125435539</v>
      </c>
    </row>
    <row r="100" spans="1:6">
      <c r="A100" s="30" t="s">
        <v>66</v>
      </c>
      <c r="B100" s="5" t="s">
        <v>1314</v>
      </c>
      <c r="C100" s="6">
        <v>83.37</v>
      </c>
      <c r="D100" s="7">
        <f>SUM($C$26:C100)</f>
        <v>8441.0000000000018</v>
      </c>
      <c r="E100" s="8">
        <f t="shared" si="1"/>
        <v>0.49048661664760773</v>
      </c>
      <c r="F100" s="31">
        <f>ROWS($A$26:A100)/COUNTA($A$26:$A$312)</f>
        <v>0.26132404181184671</v>
      </c>
    </row>
    <row r="101" spans="1:6">
      <c r="A101" s="30" t="s">
        <v>241</v>
      </c>
      <c r="B101" s="5" t="s">
        <v>1314</v>
      </c>
      <c r="C101" s="6">
        <v>81.3</v>
      </c>
      <c r="D101" s="7">
        <f>SUM($C$26:C101)</f>
        <v>8522.3000000000011</v>
      </c>
      <c r="E101" s="8">
        <f t="shared" si="1"/>
        <v>0.49521076804358571</v>
      </c>
      <c r="F101" s="31">
        <f>ROWS($A$26:A101)/COUNTA($A$26:$A$312)</f>
        <v>0.26480836236933797</v>
      </c>
    </row>
    <row r="102" spans="1:6">
      <c r="A102" s="30" t="s">
        <v>571</v>
      </c>
      <c r="B102" s="5" t="s">
        <v>1314</v>
      </c>
      <c r="C102" s="6">
        <v>80.930000000000007</v>
      </c>
      <c r="D102" s="7">
        <f>SUM($C$26:C102)</f>
        <v>8603.2300000000014</v>
      </c>
      <c r="E102" s="8">
        <f t="shared" si="1"/>
        <v>0.49991341961156238</v>
      </c>
      <c r="F102" s="31">
        <f>ROWS($A$26:A102)/COUNTA($A$26:$A$312)</f>
        <v>0.26829268292682928</v>
      </c>
    </row>
    <row r="103" spans="1:6">
      <c r="A103" s="30" t="s">
        <v>487</v>
      </c>
      <c r="B103" s="5" t="s">
        <v>1316</v>
      </c>
      <c r="C103" s="6">
        <v>80.47</v>
      </c>
      <c r="D103" s="7">
        <f>SUM($C$26:C103)</f>
        <v>8683.7000000000007</v>
      </c>
      <c r="E103" s="8">
        <f t="shared" si="1"/>
        <v>0.50458934166364533</v>
      </c>
      <c r="F103" s="31">
        <f>ROWS($A$26:A103)/COUNTA($A$26:$A$312)</f>
        <v>0.27177700348432055</v>
      </c>
    </row>
    <row r="104" spans="1:6">
      <c r="A104" s="30" t="s">
        <v>309</v>
      </c>
      <c r="B104" s="5" t="s">
        <v>1313</v>
      </c>
      <c r="C104" s="6">
        <v>77.510000000000005</v>
      </c>
      <c r="D104" s="7">
        <f>SUM($C$26:C104)</f>
        <v>8761.2100000000009</v>
      </c>
      <c r="E104" s="8">
        <f t="shared" si="1"/>
        <v>0.50909326509171737</v>
      </c>
      <c r="F104" s="31">
        <f>ROWS($A$26:A104)/COUNTA($A$26:$A$312)</f>
        <v>0.27526132404181186</v>
      </c>
    </row>
    <row r="105" spans="1:6">
      <c r="A105" s="30" t="s">
        <v>618</v>
      </c>
      <c r="B105" s="5" t="s">
        <v>1316</v>
      </c>
      <c r="C105" s="6">
        <v>76.81</v>
      </c>
      <c r="D105" s="7">
        <f>SUM($C$26:C105)</f>
        <v>8838.02</v>
      </c>
      <c r="E105" s="8">
        <f t="shared" si="1"/>
        <v>0.51355651316951656</v>
      </c>
      <c r="F105" s="31">
        <f>ROWS($A$26:A105)/COUNTA($A$26:$A$312)</f>
        <v>0.27874564459930312</v>
      </c>
    </row>
    <row r="106" spans="1:6">
      <c r="A106" s="30" t="s">
        <v>655</v>
      </c>
      <c r="B106" s="5" t="s">
        <v>1314</v>
      </c>
      <c r="C106" s="6">
        <v>75.75</v>
      </c>
      <c r="D106" s="7">
        <f>SUM($C$26:C106)</f>
        <v>8913.77</v>
      </c>
      <c r="E106" s="8">
        <f t="shared" si="1"/>
        <v>0.51795816714547394</v>
      </c>
      <c r="F106" s="31">
        <f>ROWS($A$26:A106)/COUNTA($A$26:$A$312)</f>
        <v>0.28222996515679444</v>
      </c>
    </row>
    <row r="107" spans="1:6">
      <c r="A107" s="30" t="s">
        <v>52</v>
      </c>
      <c r="B107" s="5" t="s">
        <v>1314</v>
      </c>
      <c r="C107" s="6">
        <v>75.69</v>
      </c>
      <c r="D107" s="7">
        <f>SUM($C$26:C107)</f>
        <v>8989.4600000000009</v>
      </c>
      <c r="E107" s="8">
        <f t="shared" si="1"/>
        <v>0.52235633466283649</v>
      </c>
      <c r="F107" s="31">
        <f>ROWS($A$26:A107)/COUNTA($A$26:$A$312)</f>
        <v>0.2857142857142857</v>
      </c>
    </row>
    <row r="108" spans="1:6">
      <c r="A108" s="30" t="s">
        <v>1019</v>
      </c>
      <c r="B108" s="5" t="s">
        <v>1314</v>
      </c>
      <c r="C108" s="6">
        <v>73.260000000000005</v>
      </c>
      <c r="D108" s="7">
        <f>SUM($C$26:C108)</f>
        <v>9062.7200000000012</v>
      </c>
      <c r="E108" s="8">
        <f t="shared" si="1"/>
        <v>0.52661330060710898</v>
      </c>
      <c r="F108" s="31">
        <f>ROWS($A$26:A108)/COUNTA($A$26:$A$312)</f>
        <v>0.28919860627177701</v>
      </c>
    </row>
    <row r="109" spans="1:6">
      <c r="A109" s="30" t="s">
        <v>287</v>
      </c>
      <c r="B109" s="5" t="s">
        <v>1316</v>
      </c>
      <c r="C109" s="6">
        <v>72.319999999999993</v>
      </c>
      <c r="D109" s="7">
        <f>SUM($C$26:C109)</f>
        <v>9135.0400000000009</v>
      </c>
      <c r="E109" s="8">
        <f t="shared" si="1"/>
        <v>0.53081564536672932</v>
      </c>
      <c r="F109" s="31">
        <f>ROWS($A$26:A109)/COUNTA($A$26:$A$312)</f>
        <v>0.29268292682926828</v>
      </c>
    </row>
    <row r="110" spans="1:6">
      <c r="A110" s="30" t="s">
        <v>393</v>
      </c>
      <c r="B110" s="5" t="s">
        <v>1314</v>
      </c>
      <c r="C110" s="6">
        <v>72.06</v>
      </c>
      <c r="D110" s="7">
        <f>SUM($C$26:C110)</f>
        <v>9207.1</v>
      </c>
      <c r="E110" s="8">
        <f t="shared" si="1"/>
        <v>0.5350028821391053</v>
      </c>
      <c r="F110" s="31">
        <f>ROWS($A$26:A110)/COUNTA($A$26:$A$312)</f>
        <v>0.29616724738675959</v>
      </c>
    </row>
    <row r="111" spans="1:6">
      <c r="A111" s="30" t="s">
        <v>555</v>
      </c>
      <c r="B111" s="5" t="s">
        <v>1314</v>
      </c>
      <c r="C111" s="6">
        <v>72.05</v>
      </c>
      <c r="D111" s="7">
        <f>SUM($C$26:C111)</f>
        <v>9279.15</v>
      </c>
      <c r="E111" s="8">
        <f t="shared" si="1"/>
        <v>0.53918953783504897</v>
      </c>
      <c r="F111" s="31">
        <f>ROWS($A$26:A111)/COUNTA($A$26:$A$312)</f>
        <v>0.29965156794425085</v>
      </c>
    </row>
    <row r="112" spans="1:6">
      <c r="A112" s="30" t="s">
        <v>636</v>
      </c>
      <c r="B112" s="5" t="s">
        <v>1314</v>
      </c>
      <c r="C112" s="6">
        <v>71.959999999999994</v>
      </c>
      <c r="D112" s="7">
        <f>SUM($C$26:C112)</f>
        <v>9351.1099999999988</v>
      </c>
      <c r="E112" s="8">
        <f t="shared" si="1"/>
        <v>0.54337096384310024</v>
      </c>
      <c r="F112" s="31">
        <f>ROWS($A$26:A112)/COUNTA($A$26:$A$312)</f>
        <v>0.30313588850174217</v>
      </c>
    </row>
    <row r="113" spans="1:6">
      <c r="A113" s="30" t="s">
        <v>745</v>
      </c>
      <c r="B113" s="5" t="s">
        <v>1316</v>
      </c>
      <c r="C113" s="6">
        <v>71.95</v>
      </c>
      <c r="D113" s="7">
        <f>SUM($C$26:C113)</f>
        <v>9423.06</v>
      </c>
      <c r="E113" s="8">
        <f t="shared" si="1"/>
        <v>0.54755180877471921</v>
      </c>
      <c r="F113" s="31">
        <f>ROWS($A$26:A113)/COUNTA($A$26:$A$312)</f>
        <v>0.30662020905923343</v>
      </c>
    </row>
    <row r="114" spans="1:6">
      <c r="A114" s="30" t="s">
        <v>633</v>
      </c>
      <c r="B114" s="5" t="s">
        <v>1316</v>
      </c>
      <c r="C114" s="6">
        <v>70.959999999999994</v>
      </c>
      <c r="D114" s="7">
        <f>SUM($C$26:C114)</f>
        <v>9494.0199999999986</v>
      </c>
      <c r="E114" s="8">
        <f t="shared" si="1"/>
        <v>0.5516751271395236</v>
      </c>
      <c r="F114" s="31">
        <f>ROWS($A$26:A114)/COUNTA($A$26:$A$312)</f>
        <v>0.31010452961672474</v>
      </c>
    </row>
    <row r="115" spans="1:6">
      <c r="A115" s="30" t="s">
        <v>28</v>
      </c>
      <c r="B115" s="5" t="s">
        <v>1314</v>
      </c>
      <c r="C115" s="6">
        <v>70.78</v>
      </c>
      <c r="D115" s="7">
        <f>SUM($C$26:C115)</f>
        <v>9564.7999999999993</v>
      </c>
      <c r="E115" s="8">
        <f t="shared" si="1"/>
        <v>0.55578798612854363</v>
      </c>
      <c r="F115" s="31">
        <f>ROWS($A$26:A115)/COUNTA($A$26:$A$312)</f>
        <v>0.31358885017421601</v>
      </c>
    </row>
    <row r="116" spans="1:6">
      <c r="A116" s="30" t="s">
        <v>33</v>
      </c>
      <c r="B116" s="5" t="s">
        <v>1316</v>
      </c>
      <c r="C116" s="6">
        <v>70.75</v>
      </c>
      <c r="D116" s="7">
        <f>SUM($C$26:C116)</f>
        <v>9635.5499999999993</v>
      </c>
      <c r="E116" s="8">
        <f t="shared" si="1"/>
        <v>0.55989910188826619</v>
      </c>
      <c r="F116" s="31">
        <f>ROWS($A$26:A116)/COUNTA($A$26:$A$312)</f>
        <v>0.31707317073170732</v>
      </c>
    </row>
    <row r="117" spans="1:6">
      <c r="A117" s="30" t="s">
        <v>64</v>
      </c>
      <c r="B117" s="5" t="s">
        <v>1314</v>
      </c>
      <c r="C117" s="6">
        <v>70.73</v>
      </c>
      <c r="D117" s="7">
        <f>SUM($C$26:C117)</f>
        <v>9706.2799999999988</v>
      </c>
      <c r="E117" s="8">
        <f t="shared" si="1"/>
        <v>0.56400905549512381</v>
      </c>
      <c r="F117" s="31">
        <f>ROWS($A$26:A117)/COUNTA($A$26:$A$312)</f>
        <v>0.32055749128919858</v>
      </c>
    </row>
    <row r="118" spans="1:6">
      <c r="A118" s="30" t="s">
        <v>479</v>
      </c>
      <c r="B118" s="5" t="s">
        <v>1314</v>
      </c>
      <c r="C118" s="6">
        <v>70.66</v>
      </c>
      <c r="D118" s="7">
        <f>SUM($C$26:C118)</f>
        <v>9776.9399999999987</v>
      </c>
      <c r="E118" s="8">
        <f t="shared" si="1"/>
        <v>0.56811494156695419</v>
      </c>
      <c r="F118" s="31">
        <f>ROWS($A$26:A118)/COUNTA($A$26:$A$312)</f>
        <v>0.3240418118466899</v>
      </c>
    </row>
    <row r="119" spans="1:6">
      <c r="A119" s="30" t="s">
        <v>642</v>
      </c>
      <c r="B119" s="5" t="s">
        <v>1314</v>
      </c>
      <c r="C119" s="6">
        <v>70.489999999999995</v>
      </c>
      <c r="D119" s="7">
        <f>SUM($C$26:C119)</f>
        <v>9847.4299999999985</v>
      </c>
      <c r="E119" s="8">
        <f t="shared" si="1"/>
        <v>0.57221094933943251</v>
      </c>
      <c r="F119" s="31">
        <f>ROWS($A$26:A119)/COUNTA($A$26:$A$312)</f>
        <v>0.32752613240418116</v>
      </c>
    </row>
    <row r="120" spans="1:6">
      <c r="A120" s="30" t="s">
        <v>183</v>
      </c>
      <c r="B120" s="5" t="s">
        <v>1313</v>
      </c>
      <c r="C120" s="6">
        <v>70.48</v>
      </c>
      <c r="D120" s="7">
        <f>SUM($C$26:C120)</f>
        <v>9917.909999999998</v>
      </c>
      <c r="E120" s="8">
        <f t="shared" si="1"/>
        <v>0.57630637603547841</v>
      </c>
      <c r="F120" s="31">
        <f>ROWS($A$26:A120)/COUNTA($A$26:$A$312)</f>
        <v>0.33101045296167247</v>
      </c>
    </row>
    <row r="121" spans="1:6">
      <c r="A121" s="30" t="s">
        <v>47</v>
      </c>
      <c r="B121" s="5" t="s">
        <v>1313</v>
      </c>
      <c r="C121" s="6">
        <v>70.13</v>
      </c>
      <c r="D121" s="7">
        <f>SUM($C$26:C121)</f>
        <v>9988.0399999999972</v>
      </c>
      <c r="E121" s="8">
        <f t="shared" si="1"/>
        <v>0.58038146505638777</v>
      </c>
      <c r="F121" s="31">
        <f>ROWS($A$26:A121)/COUNTA($A$26:$A$312)</f>
        <v>0.33449477351916379</v>
      </c>
    </row>
    <row r="122" spans="1:6">
      <c r="A122" s="30" t="s">
        <v>78</v>
      </c>
      <c r="B122" s="5" t="s">
        <v>1314</v>
      </c>
      <c r="C122" s="6">
        <v>70.13</v>
      </c>
      <c r="D122" s="7">
        <f>SUM($C$26:C122)</f>
        <v>10058.169999999996</v>
      </c>
      <c r="E122" s="8">
        <f t="shared" si="1"/>
        <v>0.58445655407729724</v>
      </c>
      <c r="F122" s="31">
        <f>ROWS($A$26:A122)/COUNTA($A$26:$A$312)</f>
        <v>0.33797909407665505</v>
      </c>
    </row>
    <row r="123" spans="1:6">
      <c r="A123" s="30" t="s">
        <v>1142</v>
      </c>
      <c r="B123" s="5" t="s">
        <v>1316</v>
      </c>
      <c r="C123" s="6">
        <v>69.790000000000006</v>
      </c>
      <c r="D123" s="7">
        <f>SUM($C$26:C123)</f>
        <v>10127.959999999997</v>
      </c>
      <c r="E123" s="8">
        <f t="shared" si="1"/>
        <v>0.5885118864995027</v>
      </c>
      <c r="F123" s="31">
        <f>ROWS($A$26:A123)/COUNTA($A$26:$A$312)</f>
        <v>0.34146341463414637</v>
      </c>
    </row>
    <row r="124" spans="1:6">
      <c r="A124" s="30" t="s">
        <v>181</v>
      </c>
      <c r="B124" s="5" t="s">
        <v>1314</v>
      </c>
      <c r="C124" s="6">
        <v>69.42</v>
      </c>
      <c r="D124" s="7">
        <f>SUM($C$26:C124)</f>
        <v>10197.379999999997</v>
      </c>
      <c r="E124" s="8">
        <f t="shared" si="1"/>
        <v>0.5925457190937069</v>
      </c>
      <c r="F124" s="31">
        <f>ROWS($A$26:A124)/COUNTA($A$26:$A$312)</f>
        <v>0.34494773519163763</v>
      </c>
    </row>
    <row r="125" spans="1:6">
      <c r="A125" s="30" t="s">
        <v>317</v>
      </c>
      <c r="B125" s="5" t="s">
        <v>1316</v>
      </c>
      <c r="C125" s="6">
        <v>68.16</v>
      </c>
      <c r="D125" s="7">
        <f>SUM($C$26:C125)</f>
        <v>10265.539999999997</v>
      </c>
      <c r="E125" s="8">
        <f t="shared" si="1"/>
        <v>0.59650633605741976</v>
      </c>
      <c r="F125" s="31">
        <f>ROWS($A$26:A125)/COUNTA($A$26:$A$312)</f>
        <v>0.34843205574912894</v>
      </c>
    </row>
    <row r="126" spans="1:6">
      <c r="A126" s="30" t="s">
        <v>495</v>
      </c>
      <c r="B126" s="5" t="s">
        <v>1316</v>
      </c>
      <c r="C126" s="6">
        <v>65.58</v>
      </c>
      <c r="D126" s="7">
        <f>SUM($C$26:C126)</f>
        <v>10331.119999999997</v>
      </c>
      <c r="E126" s="8">
        <f t="shared" si="1"/>
        <v>0.60031703530155556</v>
      </c>
      <c r="F126" s="31">
        <f>ROWS($A$26:A126)/COUNTA($A$26:$A$312)</f>
        <v>0.3519163763066202</v>
      </c>
    </row>
    <row r="127" spans="1:6">
      <c r="A127" s="30" t="s">
        <v>82</v>
      </c>
      <c r="B127" s="5" t="s">
        <v>1314</v>
      </c>
      <c r="C127" s="6">
        <v>65.010000000000005</v>
      </c>
      <c r="D127" s="7">
        <f>SUM($C$26:C127)</f>
        <v>10396.129999999997</v>
      </c>
      <c r="E127" s="8">
        <f t="shared" si="1"/>
        <v>0.60409461318904056</v>
      </c>
      <c r="F127" s="31">
        <f>ROWS($A$26:A127)/COUNTA($A$26:$A$312)</f>
        <v>0.35540069686411152</v>
      </c>
    </row>
    <row r="128" spans="1:6">
      <c r="A128" s="30" t="s">
        <v>465</v>
      </c>
      <c r="B128" s="5" t="s">
        <v>1314</v>
      </c>
      <c r="C128" s="6">
        <v>64.989999999999995</v>
      </c>
      <c r="D128" s="7">
        <f>SUM($C$26:C128)</f>
        <v>10461.119999999997</v>
      </c>
      <c r="E128" s="8">
        <f t="shared" si="1"/>
        <v>0.60787102892366063</v>
      </c>
      <c r="F128" s="31">
        <f>ROWS($A$26:A128)/COUNTA($A$26:$A$312)</f>
        <v>0.35888501742160278</v>
      </c>
    </row>
    <row r="129" spans="1:6">
      <c r="A129" s="30" t="s">
        <v>56</v>
      </c>
      <c r="B129" s="5" t="s">
        <v>1313</v>
      </c>
      <c r="C129" s="6">
        <v>64.5</v>
      </c>
      <c r="D129" s="7">
        <f>SUM($C$26:C129)</f>
        <v>10525.619999999997</v>
      </c>
      <c r="E129" s="8">
        <f t="shared" si="1"/>
        <v>0.61161897191308967</v>
      </c>
      <c r="F129" s="31">
        <f>ROWS($A$26:A129)/COUNTA($A$26:$A$312)</f>
        <v>0.3623693379790941</v>
      </c>
    </row>
    <row r="130" spans="1:6">
      <c r="A130" s="30" t="s">
        <v>891</v>
      </c>
      <c r="B130" s="5" t="s">
        <v>1313</v>
      </c>
      <c r="C130" s="6">
        <v>64.37</v>
      </c>
      <c r="D130" s="7">
        <f>SUM($C$26:C130)</f>
        <v>10589.989999999998</v>
      </c>
      <c r="E130" s="8">
        <f t="shared" si="1"/>
        <v>0.61535936090889665</v>
      </c>
      <c r="F130" s="31">
        <f>ROWS($A$26:A130)/COUNTA($A$26:$A$312)</f>
        <v>0.36585365853658536</v>
      </c>
    </row>
    <row r="131" spans="1:6">
      <c r="A131" s="30" t="s">
        <v>469</v>
      </c>
      <c r="B131" s="5" t="s">
        <v>1316</v>
      </c>
      <c r="C131" s="6">
        <v>63.98</v>
      </c>
      <c r="D131" s="7">
        <f>SUM($C$26:C131)</f>
        <v>10653.969999999998</v>
      </c>
      <c r="E131" s="8">
        <f t="shared" si="1"/>
        <v>0.61907708792383731</v>
      </c>
      <c r="F131" s="31">
        <f>ROWS($A$26:A131)/COUNTA($A$26:$A$312)</f>
        <v>0.36933797909407667</v>
      </c>
    </row>
    <row r="132" spans="1:6">
      <c r="A132" s="30" t="s">
        <v>76</v>
      </c>
      <c r="B132" s="5" t="s">
        <v>1313</v>
      </c>
      <c r="C132" s="6">
        <v>63.34</v>
      </c>
      <c r="D132" s="7">
        <f>SUM($C$26:C132)</f>
        <v>10717.309999999998</v>
      </c>
      <c r="E132" s="8">
        <f t="shared" si="1"/>
        <v>0.62275762604709994</v>
      </c>
      <c r="F132" s="31">
        <f>ROWS($A$26:A132)/COUNTA($A$26:$A$312)</f>
        <v>0.37282229965156793</v>
      </c>
    </row>
    <row r="133" spans="1:6">
      <c r="A133" s="30" t="s">
        <v>793</v>
      </c>
      <c r="B133" s="5" t="s">
        <v>1316</v>
      </c>
      <c r="C133" s="6">
        <v>63.08</v>
      </c>
      <c r="D133" s="7">
        <f>SUM($C$26:C133)</f>
        <v>10780.389999999998</v>
      </c>
      <c r="E133" s="8">
        <f t="shared" si="1"/>
        <v>0.62642305618311822</v>
      </c>
      <c r="F133" s="31">
        <f>ROWS($A$26:A133)/COUNTA($A$26:$A$312)</f>
        <v>0.37630662020905925</v>
      </c>
    </row>
    <row r="134" spans="1:6">
      <c r="A134" s="30" t="s">
        <v>628</v>
      </c>
      <c r="B134" s="5" t="s">
        <v>1314</v>
      </c>
      <c r="C134" s="6">
        <v>62.59</v>
      </c>
      <c r="D134" s="7">
        <f>SUM($C$26:C134)</f>
        <v>10842.979999999998</v>
      </c>
      <c r="E134" s="8">
        <f t="shared" si="1"/>
        <v>0.6300600135739457</v>
      </c>
      <c r="F134" s="31">
        <f>ROWS($A$26:A134)/COUNTA($A$26:$A$312)</f>
        <v>0.37979094076655051</v>
      </c>
    </row>
    <row r="135" spans="1:6">
      <c r="A135" s="30" t="s">
        <v>104</v>
      </c>
      <c r="B135" s="5" t="s">
        <v>1314</v>
      </c>
      <c r="C135" s="6">
        <v>62.49</v>
      </c>
      <c r="D135" s="7">
        <f>SUM($C$26:C135)</f>
        <v>10905.469999999998</v>
      </c>
      <c r="E135" s="8">
        <f t="shared" si="1"/>
        <v>0.63369116020044824</v>
      </c>
      <c r="F135" s="31">
        <f>ROWS($A$26:A135)/COUNTA($A$26:$A$312)</f>
        <v>0.38327526132404183</v>
      </c>
    </row>
    <row r="136" spans="1:6">
      <c r="A136" s="30" t="s">
        <v>120</v>
      </c>
      <c r="B136" s="5" t="s">
        <v>1313</v>
      </c>
      <c r="C136" s="6">
        <v>61.88</v>
      </c>
      <c r="D136" s="7">
        <f>SUM($C$26:C136)</f>
        <v>10967.349999999997</v>
      </c>
      <c r="E136" s="8">
        <f t="shared" si="1"/>
        <v>0.63728686116457023</v>
      </c>
      <c r="F136" s="31">
        <f>ROWS($A$26:A136)/COUNTA($A$26:$A$312)</f>
        <v>0.38675958188153309</v>
      </c>
    </row>
    <row r="137" spans="1:6">
      <c r="A137" s="30" t="s">
        <v>243</v>
      </c>
      <c r="B137" s="5" t="s">
        <v>1314</v>
      </c>
      <c r="C137" s="6">
        <v>61.65</v>
      </c>
      <c r="D137" s="7">
        <f>SUM($C$26:C137)</f>
        <v>11028.999999999996</v>
      </c>
      <c r="E137" s="8">
        <f t="shared" si="1"/>
        <v>0.64086919737074544</v>
      </c>
      <c r="F137" s="31">
        <f>ROWS($A$26:A137)/COUNTA($A$26:$A$312)</f>
        <v>0.3902439024390244</v>
      </c>
    </row>
    <row r="138" spans="1:6">
      <c r="A138" s="30" t="s">
        <v>22</v>
      </c>
      <c r="B138" s="5" t="s">
        <v>1314</v>
      </c>
      <c r="C138" s="6">
        <v>61.62</v>
      </c>
      <c r="D138" s="7">
        <f>SUM($C$26:C138)</f>
        <v>11090.619999999997</v>
      </c>
      <c r="E138" s="8">
        <f t="shared" si="1"/>
        <v>0.64444979034762329</v>
      </c>
      <c r="F138" s="31">
        <f>ROWS($A$26:A138)/COUNTA($A$26:$A$312)</f>
        <v>0.39372822299651566</v>
      </c>
    </row>
    <row r="139" spans="1:6">
      <c r="A139" s="30" t="s">
        <v>885</v>
      </c>
      <c r="B139" s="5" t="s">
        <v>1316</v>
      </c>
      <c r="C139" s="6">
        <v>61.43</v>
      </c>
      <c r="D139" s="7">
        <f>SUM($C$26:C139)</f>
        <v>11152.049999999997</v>
      </c>
      <c r="E139" s="8">
        <f t="shared" si="1"/>
        <v>0.64801934287228424</v>
      </c>
      <c r="F139" s="31">
        <f>ROWS($A$26:A139)/COUNTA($A$26:$A$312)</f>
        <v>0.39721254355400698</v>
      </c>
    </row>
    <row r="140" spans="1:6">
      <c r="A140" s="30" t="s">
        <v>378</v>
      </c>
      <c r="B140" s="5" t="s">
        <v>1313</v>
      </c>
      <c r="C140" s="6">
        <v>61.24</v>
      </c>
      <c r="D140" s="7">
        <f>SUM($C$26:C140)</f>
        <v>11213.289999999997</v>
      </c>
      <c r="E140" s="8">
        <f t="shared" si="1"/>
        <v>0.6515778549447282</v>
      </c>
      <c r="F140" s="31">
        <f>ROWS($A$26:A140)/COUNTA($A$26:$A$312)</f>
        <v>0.40069686411149824</v>
      </c>
    </row>
    <row r="141" spans="1:6">
      <c r="A141" s="30" t="s">
        <v>804</v>
      </c>
      <c r="B141" s="5" t="s">
        <v>1316</v>
      </c>
      <c r="C141" s="6">
        <v>61.04</v>
      </c>
      <c r="D141" s="7">
        <f>SUM($C$26:C141)</f>
        <v>11274.329999999998</v>
      </c>
      <c r="E141" s="8">
        <f t="shared" si="1"/>
        <v>0.65512474548852284</v>
      </c>
      <c r="F141" s="31">
        <f>ROWS($A$26:A141)/COUNTA($A$26:$A$312)</f>
        <v>0.40418118466898956</v>
      </c>
    </row>
    <row r="142" spans="1:6">
      <c r="A142" s="30" t="s">
        <v>18</v>
      </c>
      <c r="B142" s="5" t="s">
        <v>1314</v>
      </c>
      <c r="C142" s="6">
        <v>60.89</v>
      </c>
      <c r="D142" s="7">
        <f>SUM($C$26:C142)</f>
        <v>11335.219999999998</v>
      </c>
      <c r="E142" s="8">
        <f t="shared" si="1"/>
        <v>0.65866291988583026</v>
      </c>
      <c r="F142" s="31">
        <f>ROWS($A$26:A142)/COUNTA($A$26:$A$312)</f>
        <v>0.40766550522648082</v>
      </c>
    </row>
    <row r="143" spans="1:6">
      <c r="A143" s="30" t="s">
        <v>260</v>
      </c>
      <c r="B143" s="5" t="s">
        <v>1316</v>
      </c>
      <c r="C143" s="6">
        <v>60.87</v>
      </c>
      <c r="D143" s="7">
        <f>SUM($C$26:C143)</f>
        <v>11396.089999999998</v>
      </c>
      <c r="E143" s="8">
        <f t="shared" si="1"/>
        <v>0.66219993213027295</v>
      </c>
      <c r="F143" s="31">
        <f>ROWS($A$26:A143)/COUNTA($A$26:$A$312)</f>
        <v>0.41114982578397213</v>
      </c>
    </row>
    <row r="144" spans="1:6">
      <c r="A144" s="30" t="s">
        <v>396</v>
      </c>
      <c r="B144" s="5" t="s">
        <v>1314</v>
      </c>
      <c r="C144" s="6">
        <v>60.47</v>
      </c>
      <c r="D144" s="7">
        <f>SUM($C$26:C144)</f>
        <v>11456.559999999998</v>
      </c>
      <c r="E144" s="8">
        <f t="shared" si="1"/>
        <v>0.6657137013174167</v>
      </c>
      <c r="F144" s="31">
        <f>ROWS($A$26:A144)/COUNTA($A$26:$A$312)</f>
        <v>0.41463414634146339</v>
      </c>
    </row>
    <row r="145" spans="1:6">
      <c r="A145" s="30" t="s">
        <v>84</v>
      </c>
      <c r="B145" s="5" t="s">
        <v>1314</v>
      </c>
      <c r="C145" s="6">
        <v>60.04</v>
      </c>
      <c r="D145" s="7">
        <f>SUM($C$26:C145)</f>
        <v>11516.599999999999</v>
      </c>
      <c r="E145" s="8">
        <f t="shared" si="1"/>
        <v>0.66920248421796436</v>
      </c>
      <c r="F145" s="31">
        <f>ROWS($A$26:A145)/COUNTA($A$26:$A$312)</f>
        <v>0.41811846689895471</v>
      </c>
    </row>
    <row r="146" spans="1:6">
      <c r="A146" s="30" t="s">
        <v>151</v>
      </c>
      <c r="B146" s="5" t="s">
        <v>1316</v>
      </c>
      <c r="C146" s="6">
        <v>59.82</v>
      </c>
      <c r="D146" s="7">
        <f>SUM($C$26:C146)</f>
        <v>11576.419999999998</v>
      </c>
      <c r="E146" s="8">
        <f t="shared" si="1"/>
        <v>0.67267848343699765</v>
      </c>
      <c r="F146" s="31">
        <f>ROWS($A$26:A146)/COUNTA($A$26:$A$312)</f>
        <v>0.42160278745644597</v>
      </c>
    </row>
    <row r="147" spans="1:6">
      <c r="A147" s="30" t="s">
        <v>200</v>
      </c>
      <c r="B147" s="5" t="s">
        <v>1314</v>
      </c>
      <c r="C147" s="6">
        <v>59.46</v>
      </c>
      <c r="D147" s="7">
        <f>SUM($C$26:C147)</f>
        <v>11635.879999999997</v>
      </c>
      <c r="E147" s="8">
        <f t="shared" si="1"/>
        <v>0.67613356390446189</v>
      </c>
      <c r="F147" s="31">
        <f>ROWS($A$26:A147)/COUNTA($A$26:$A$312)</f>
        <v>0.42508710801393729</v>
      </c>
    </row>
    <row r="148" spans="1:6">
      <c r="A148" s="30" t="s">
        <v>155</v>
      </c>
      <c r="B148" s="5" t="s">
        <v>1316</v>
      </c>
      <c r="C148" s="6">
        <v>59.38</v>
      </c>
      <c r="D148" s="7">
        <f>SUM($C$26:C148)</f>
        <v>11695.259999999997</v>
      </c>
      <c r="E148" s="8">
        <f t="shared" si="1"/>
        <v>0.67958399576046646</v>
      </c>
      <c r="F148" s="31">
        <f>ROWS($A$26:A148)/COUNTA($A$26:$A$312)</f>
        <v>0.42857142857142855</v>
      </c>
    </row>
    <row r="149" spans="1:6">
      <c r="A149" s="30" t="s">
        <v>6</v>
      </c>
      <c r="B149" s="5" t="s">
        <v>1315</v>
      </c>
      <c r="C149" s="6">
        <v>59.36</v>
      </c>
      <c r="D149" s="7">
        <f>SUM($C$26:C149)</f>
        <v>11754.619999999997</v>
      </c>
      <c r="E149" s="8">
        <f t="shared" si="1"/>
        <v>0.68303326546360621</v>
      </c>
      <c r="F149" s="31">
        <f>ROWS($A$26:A149)/COUNTA($A$26:$A$312)</f>
        <v>0.43205574912891986</v>
      </c>
    </row>
    <row r="150" spans="1:6">
      <c r="A150" s="30" t="s">
        <v>713</v>
      </c>
      <c r="B150" s="5" t="s">
        <v>1314</v>
      </c>
      <c r="C150" s="6">
        <v>59.02</v>
      </c>
      <c r="D150" s="7">
        <f>SUM($C$26:C150)</f>
        <v>11813.639999999998</v>
      </c>
      <c r="E150" s="8">
        <f t="shared" si="1"/>
        <v>0.68646277856804194</v>
      </c>
      <c r="F150" s="31">
        <f>ROWS($A$26:A150)/COUNTA($A$26:$A$312)</f>
        <v>0.43554006968641112</v>
      </c>
    </row>
    <row r="151" spans="1:6">
      <c r="A151" s="30" t="s">
        <v>54</v>
      </c>
      <c r="B151" s="5" t="s">
        <v>1316</v>
      </c>
      <c r="C151" s="6">
        <v>58.38</v>
      </c>
      <c r="D151" s="7">
        <f>SUM($C$26:C151)</f>
        <v>11872.019999999997</v>
      </c>
      <c r="E151" s="8">
        <f t="shared" si="1"/>
        <v>0.68985510278079953</v>
      </c>
      <c r="F151" s="31">
        <f>ROWS($A$26:A151)/COUNTA($A$26:$A$312)</f>
        <v>0.43902439024390244</v>
      </c>
    </row>
    <row r="152" spans="1:6">
      <c r="A152" s="30" t="s">
        <v>703</v>
      </c>
      <c r="B152" s="5" t="s">
        <v>1314</v>
      </c>
      <c r="C152" s="6">
        <v>58.25</v>
      </c>
      <c r="D152" s="7">
        <f>SUM($C$26:C152)</f>
        <v>11930.269999999997</v>
      </c>
      <c r="E152" s="8">
        <f t="shared" si="1"/>
        <v>0.69323987299993506</v>
      </c>
      <c r="F152" s="31">
        <f>ROWS($A$26:A152)/COUNTA($A$26:$A$312)</f>
        <v>0.4425087108013937</v>
      </c>
    </row>
    <row r="153" spans="1:6">
      <c r="A153" s="30" t="s">
        <v>128</v>
      </c>
      <c r="B153" s="5" t="s">
        <v>1314</v>
      </c>
      <c r="C153" s="6">
        <v>58.19</v>
      </c>
      <c r="D153" s="7">
        <f>SUM($C$26:C153)</f>
        <v>11988.459999999997</v>
      </c>
      <c r="E153" s="8">
        <f t="shared" si="1"/>
        <v>0.69662115676047587</v>
      </c>
      <c r="F153" s="31">
        <f>ROWS($A$26:A153)/COUNTA($A$26:$A$312)</f>
        <v>0.44599303135888502</v>
      </c>
    </row>
    <row r="154" spans="1:6">
      <c r="A154" s="30" t="s">
        <v>500</v>
      </c>
      <c r="B154" s="5" t="s">
        <v>1316</v>
      </c>
      <c r="C154" s="6">
        <v>58.1</v>
      </c>
      <c r="D154" s="7">
        <f>SUM($C$26:C154)</f>
        <v>12046.559999999998</v>
      </c>
      <c r="E154" s="8">
        <f t="shared" si="1"/>
        <v>0.69999721083312438</v>
      </c>
      <c r="F154" s="31">
        <f>ROWS($A$26:A154)/COUNTA($A$26:$A$312)</f>
        <v>0.44947735191637633</v>
      </c>
    </row>
    <row r="155" spans="1:6">
      <c r="A155" s="30" t="s">
        <v>26</v>
      </c>
      <c r="B155" s="5" t="s">
        <v>1314</v>
      </c>
      <c r="C155" s="6">
        <v>58.05</v>
      </c>
      <c r="D155" s="7">
        <f>SUM($C$26:C155)</f>
        <v>12104.609999999997</v>
      </c>
      <c r="E155" s="8">
        <f t="shared" ref="E155:E218" si="2">D155/$D$312</f>
        <v>0.70337035952361049</v>
      </c>
      <c r="F155" s="31">
        <f>ROWS($A$26:A155)/COUNTA($A$26:$A$312)</f>
        <v>0.45296167247386759</v>
      </c>
    </row>
    <row r="156" spans="1:6">
      <c r="A156" s="30" t="s">
        <v>211</v>
      </c>
      <c r="B156" s="5" t="s">
        <v>1314</v>
      </c>
      <c r="C156" s="6">
        <v>57.97</v>
      </c>
      <c r="D156" s="7">
        <f>SUM($C$26:C156)</f>
        <v>12162.579999999996</v>
      </c>
      <c r="E156" s="8">
        <f t="shared" si="2"/>
        <v>0.70673885960263683</v>
      </c>
      <c r="F156" s="31">
        <f>ROWS($A$26:A156)/COUNTA($A$26:$A$312)</f>
        <v>0.45644599303135891</v>
      </c>
    </row>
    <row r="157" spans="1:6">
      <c r="A157" s="30" t="s">
        <v>327</v>
      </c>
      <c r="B157" s="5" t="s">
        <v>1316</v>
      </c>
      <c r="C157" s="6">
        <v>57.95</v>
      </c>
      <c r="D157" s="7">
        <f>SUM($C$26:C157)</f>
        <v>12220.529999999997</v>
      </c>
      <c r="E157" s="8">
        <f t="shared" si="2"/>
        <v>0.71010619752879833</v>
      </c>
      <c r="F157" s="31">
        <f>ROWS($A$26:A157)/COUNTA($A$26:$A$312)</f>
        <v>0.45993031358885017</v>
      </c>
    </row>
    <row r="158" spans="1:6">
      <c r="A158" s="30" t="s">
        <v>382</v>
      </c>
      <c r="B158" s="5" t="s">
        <v>1316</v>
      </c>
      <c r="C158" s="6">
        <v>57.67</v>
      </c>
      <c r="D158" s="7">
        <f>SUM($C$26:C158)</f>
        <v>12278.199999999997</v>
      </c>
      <c r="E158" s="8">
        <f t="shared" si="2"/>
        <v>0.71345726531485065</v>
      </c>
      <c r="F158" s="31">
        <f>ROWS($A$26:A158)/COUNTA($A$26:$A$312)</f>
        <v>0.46341463414634149</v>
      </c>
    </row>
    <row r="159" spans="1:6">
      <c r="A159" s="30" t="s">
        <v>344</v>
      </c>
      <c r="B159" s="5" t="s">
        <v>1316</v>
      </c>
      <c r="C159" s="6">
        <v>57.61</v>
      </c>
      <c r="D159" s="7">
        <f>SUM($C$26:C159)</f>
        <v>12335.809999999998</v>
      </c>
      <c r="E159" s="8">
        <f t="shared" si="2"/>
        <v>0.71680484664230815</v>
      </c>
      <c r="F159" s="31">
        <f>ROWS($A$26:A159)/COUNTA($A$26:$A$312)</f>
        <v>0.46689895470383275</v>
      </c>
    </row>
    <row r="160" spans="1:6">
      <c r="A160" s="30" t="s">
        <v>92</v>
      </c>
      <c r="B160" s="5" t="s">
        <v>1314</v>
      </c>
      <c r="C160" s="6">
        <v>57.31</v>
      </c>
      <c r="D160" s="7">
        <f>SUM($C$26:C160)</f>
        <v>12393.119999999997</v>
      </c>
      <c r="E160" s="8">
        <f t="shared" si="2"/>
        <v>0.72013499567679151</v>
      </c>
      <c r="F160" s="31">
        <f>ROWS($A$26:A160)/COUNTA($A$26:$A$312)</f>
        <v>0.47038327526132406</v>
      </c>
    </row>
    <row r="161" spans="1:6">
      <c r="A161" s="30" t="s">
        <v>870</v>
      </c>
      <c r="B161" s="5" t="s">
        <v>1316</v>
      </c>
      <c r="C161" s="6">
        <v>57.05</v>
      </c>
      <c r="D161" s="7">
        <f>SUM($C$26:C161)</f>
        <v>12450.169999999996</v>
      </c>
      <c r="E161" s="8">
        <f t="shared" si="2"/>
        <v>0.72345003672403063</v>
      </c>
      <c r="F161" s="31">
        <f>ROWS($A$26:A161)/COUNTA($A$26:$A$312)</f>
        <v>0.47386759581881532</v>
      </c>
    </row>
    <row r="162" spans="1:6">
      <c r="A162" s="30" t="s">
        <v>45</v>
      </c>
      <c r="B162" s="5" t="s">
        <v>1314</v>
      </c>
      <c r="C162" s="6">
        <v>56.24</v>
      </c>
      <c r="D162" s="7">
        <f>SUM($C$26:C162)</f>
        <v>12506.409999999996</v>
      </c>
      <c r="E162" s="8">
        <f t="shared" si="2"/>
        <v>0.72671801058023977</v>
      </c>
      <c r="F162" s="31">
        <f>ROWS($A$26:A162)/COUNTA($A$26:$A$312)</f>
        <v>0.47735191637630664</v>
      </c>
    </row>
    <row r="163" spans="1:6">
      <c r="A163" s="30" t="s">
        <v>1030</v>
      </c>
      <c r="B163" s="5" t="s">
        <v>1314</v>
      </c>
      <c r="C163" s="6">
        <v>56.19</v>
      </c>
      <c r="D163" s="7">
        <f>SUM($C$26:C163)</f>
        <v>12562.599999999997</v>
      </c>
      <c r="E163" s="8">
        <f t="shared" si="2"/>
        <v>0.72998307905428661</v>
      </c>
      <c r="F163" s="31">
        <f>ROWS($A$26:A163)/COUNTA($A$26:$A$312)</f>
        <v>0.4808362369337979</v>
      </c>
    </row>
    <row r="164" spans="1:6">
      <c r="A164" s="30" t="s">
        <v>100</v>
      </c>
      <c r="B164" s="5" t="s">
        <v>1314</v>
      </c>
      <c r="C164" s="6">
        <v>55.54</v>
      </c>
      <c r="D164" s="7">
        <f>SUM($C$26:C164)</f>
        <v>12618.139999999998</v>
      </c>
      <c r="E164" s="8">
        <f t="shared" si="2"/>
        <v>0.733210377560223</v>
      </c>
      <c r="F164" s="31">
        <f>ROWS($A$26:A164)/COUNTA($A$26:$A$312)</f>
        <v>0.48432055749128922</v>
      </c>
    </row>
    <row r="165" spans="1:6">
      <c r="A165" s="30" t="s">
        <v>35</v>
      </c>
      <c r="B165" s="5" t="s">
        <v>1316</v>
      </c>
      <c r="C165" s="6">
        <v>55.45</v>
      </c>
      <c r="D165" s="7">
        <f>SUM($C$26:C165)</f>
        <v>12673.589999999998</v>
      </c>
      <c r="E165" s="8">
        <f t="shared" si="2"/>
        <v>0.7364324463782671</v>
      </c>
      <c r="F165" s="31">
        <f>ROWS($A$26:A165)/COUNTA($A$26:$A$312)</f>
        <v>0.48780487804878048</v>
      </c>
    </row>
    <row r="166" spans="1:6">
      <c r="A166" s="30" t="s">
        <v>136</v>
      </c>
      <c r="B166" s="5" t="s">
        <v>1316</v>
      </c>
      <c r="C166" s="6">
        <v>55.25</v>
      </c>
      <c r="D166" s="7">
        <f>SUM($C$26:C166)</f>
        <v>12728.839999999998</v>
      </c>
      <c r="E166" s="8">
        <f t="shared" si="2"/>
        <v>0.73964289366766178</v>
      </c>
      <c r="F166" s="31">
        <f>ROWS($A$26:A166)/COUNTA($A$26:$A$312)</f>
        <v>0.49128919860627179</v>
      </c>
    </row>
    <row r="167" spans="1:6">
      <c r="A167" s="30" t="s">
        <v>896</v>
      </c>
      <c r="B167" s="5" t="s">
        <v>1316</v>
      </c>
      <c r="C167" s="6">
        <v>55.1</v>
      </c>
      <c r="D167" s="7">
        <f>SUM($C$26:C167)</f>
        <v>12783.939999999999</v>
      </c>
      <c r="E167" s="8">
        <f t="shared" si="2"/>
        <v>0.74284462481056934</v>
      </c>
      <c r="F167" s="31">
        <f>ROWS($A$26:A167)/COUNTA($A$26:$A$312)</f>
        <v>0.49477351916376305</v>
      </c>
    </row>
    <row r="168" spans="1:6">
      <c r="A168" s="30" t="s">
        <v>452</v>
      </c>
      <c r="B168" s="5" t="s">
        <v>1316</v>
      </c>
      <c r="C168" s="6">
        <v>54.57</v>
      </c>
      <c r="D168" s="7">
        <f>SUM($C$26:C168)</f>
        <v>12838.509999999998</v>
      </c>
      <c r="E168" s="8">
        <f t="shared" si="2"/>
        <v>0.74601555890255611</v>
      </c>
      <c r="F168" s="31">
        <f>ROWS($A$26:A168)/COUNTA($A$26:$A$312)</f>
        <v>0.49825783972125437</v>
      </c>
    </row>
    <row r="169" spans="1:6">
      <c r="A169" s="30" t="s">
        <v>400</v>
      </c>
      <c r="B169" s="5" t="s">
        <v>1314</v>
      </c>
      <c r="C169" s="6">
        <v>53.9</v>
      </c>
      <c r="D169" s="7">
        <f>SUM($C$26:C169)</f>
        <v>12892.409999999998</v>
      </c>
      <c r="E169" s="8">
        <f t="shared" si="2"/>
        <v>0.74914756087356738</v>
      </c>
      <c r="F169" s="31">
        <f>ROWS($A$26:A169)/COUNTA($A$26:$A$312)</f>
        <v>0.50174216027874563</v>
      </c>
    </row>
    <row r="170" spans="1:6">
      <c r="A170" s="30" t="s">
        <v>122</v>
      </c>
      <c r="B170" s="5" t="s">
        <v>1314</v>
      </c>
      <c r="C170" s="6">
        <v>53.77</v>
      </c>
      <c r="D170" s="7">
        <f>SUM($C$26:C170)</f>
        <v>12946.179999999998</v>
      </c>
      <c r="E170" s="8">
        <f t="shared" si="2"/>
        <v>0.75227200885095646</v>
      </c>
      <c r="F170" s="31">
        <f>ROWS($A$26:A170)/COUNTA($A$26:$A$312)</f>
        <v>0.50522648083623689</v>
      </c>
    </row>
    <row r="171" spans="1:6">
      <c r="A171" s="30" t="s">
        <v>266</v>
      </c>
      <c r="B171" s="5" t="s">
        <v>1314</v>
      </c>
      <c r="C171" s="6">
        <v>53.66</v>
      </c>
      <c r="D171" s="7">
        <f>SUM($C$26:C171)</f>
        <v>12999.839999999998</v>
      </c>
      <c r="E171" s="8">
        <f t="shared" si="2"/>
        <v>0.75539006498758854</v>
      </c>
      <c r="F171" s="31">
        <f>ROWS($A$26:A171)/COUNTA($A$26:$A$312)</f>
        <v>0.50871080139372826</v>
      </c>
    </row>
    <row r="172" spans="1:6">
      <c r="A172" s="30" t="s">
        <v>767</v>
      </c>
      <c r="B172" s="5" t="s">
        <v>1315</v>
      </c>
      <c r="C172" s="6">
        <v>53.61</v>
      </c>
      <c r="D172" s="7">
        <f>SUM($C$26:C172)</f>
        <v>13053.449999999999</v>
      </c>
      <c r="E172" s="8">
        <f t="shared" si="2"/>
        <v>0.7585052157420582</v>
      </c>
      <c r="F172" s="31">
        <f>ROWS($A$26:A172)/COUNTA($A$26:$A$312)</f>
        <v>0.51219512195121952</v>
      </c>
    </row>
    <row r="173" spans="1:6">
      <c r="A173" s="30" t="s">
        <v>177</v>
      </c>
      <c r="B173" s="5" t="s">
        <v>1316</v>
      </c>
      <c r="C173" s="6">
        <v>52.66</v>
      </c>
      <c r="D173" s="7">
        <f>SUM($C$26:C173)</f>
        <v>13106.109999999999</v>
      </c>
      <c r="E173" s="8">
        <f t="shared" si="2"/>
        <v>0.76156516423544318</v>
      </c>
      <c r="F173" s="31">
        <f>ROWS($A$26:A173)/COUNTA($A$26:$A$312)</f>
        <v>0.51567944250871078</v>
      </c>
    </row>
    <row r="174" spans="1:6">
      <c r="A174" s="30" t="s">
        <v>677</v>
      </c>
      <c r="B174" s="5" t="s">
        <v>1316</v>
      </c>
      <c r="C174" s="6">
        <v>52.57</v>
      </c>
      <c r="D174" s="7">
        <f>SUM($C$26:C174)</f>
        <v>13158.679999999998</v>
      </c>
      <c r="E174" s="8">
        <f t="shared" si="2"/>
        <v>0.76461988304093598</v>
      </c>
      <c r="F174" s="31">
        <f>ROWS($A$26:A174)/COUNTA($A$26:$A$312)</f>
        <v>0.51916376306620204</v>
      </c>
    </row>
    <row r="175" spans="1:6">
      <c r="A175" s="30" t="s">
        <v>173</v>
      </c>
      <c r="B175" s="5" t="s">
        <v>1314</v>
      </c>
      <c r="C175" s="6">
        <v>52.51</v>
      </c>
      <c r="D175" s="7">
        <f>SUM($C$26:C175)</f>
        <v>13211.189999999999</v>
      </c>
      <c r="E175" s="8">
        <f t="shared" si="2"/>
        <v>0.76767111538783395</v>
      </c>
      <c r="F175" s="31">
        <f>ROWS($A$26:A175)/COUNTA($A$26:$A$312)</f>
        <v>0.52264808362369342</v>
      </c>
    </row>
    <row r="176" spans="1:6">
      <c r="A176" s="30" t="s">
        <v>407</v>
      </c>
      <c r="B176" s="5" t="s">
        <v>1314</v>
      </c>
      <c r="C176" s="6">
        <v>52.35</v>
      </c>
      <c r="D176" s="7">
        <f>SUM($C$26:C176)</f>
        <v>13263.539999999999</v>
      </c>
      <c r="E176" s="8">
        <f t="shared" si="2"/>
        <v>0.77071305051181249</v>
      </c>
      <c r="F176" s="31">
        <f>ROWS($A$26:A176)/COUNTA($A$26:$A$312)</f>
        <v>0.52613240418118468</v>
      </c>
    </row>
    <row r="177" spans="1:6">
      <c r="A177" s="30" t="s">
        <v>424</v>
      </c>
      <c r="B177" s="5" t="s">
        <v>1316</v>
      </c>
      <c r="C177" s="6">
        <v>52.34</v>
      </c>
      <c r="D177" s="7">
        <f>SUM($C$26:C177)</f>
        <v>13315.88</v>
      </c>
      <c r="E177" s="8">
        <f t="shared" si="2"/>
        <v>0.77375440455935851</v>
      </c>
      <c r="F177" s="31">
        <f>ROWS($A$26:A177)/COUNTA($A$26:$A$312)</f>
        <v>0.52961672473867594</v>
      </c>
    </row>
    <row r="178" spans="1:6">
      <c r="A178" s="30" t="s">
        <v>411</v>
      </c>
      <c r="B178" s="5" t="s">
        <v>1314</v>
      </c>
      <c r="C178" s="6">
        <v>52.31</v>
      </c>
      <c r="D178" s="7">
        <f>SUM($C$26:C178)</f>
        <v>13368.189999999999</v>
      </c>
      <c r="E178" s="8">
        <f t="shared" si="2"/>
        <v>0.77679401537760706</v>
      </c>
      <c r="F178" s="31">
        <f>ROWS($A$26:A178)/COUNTA($A$26:$A$312)</f>
        <v>0.5331010452961672</v>
      </c>
    </row>
    <row r="179" spans="1:6">
      <c r="A179" s="30" t="s">
        <v>511</v>
      </c>
      <c r="B179" s="5" t="s">
        <v>1314</v>
      </c>
      <c r="C179" s="6">
        <v>52.29</v>
      </c>
      <c r="D179" s="7">
        <f>SUM($C$26:C179)</f>
        <v>13420.48</v>
      </c>
      <c r="E179" s="8">
        <f t="shared" si="2"/>
        <v>0.77983246404299067</v>
      </c>
      <c r="F179" s="31">
        <f>ROWS($A$26:A179)/COUNTA($A$26:$A$312)</f>
        <v>0.53658536585365857</v>
      </c>
    </row>
    <row r="180" spans="1:6">
      <c r="A180" s="30" t="s">
        <v>236</v>
      </c>
      <c r="B180" s="5" t="s">
        <v>1316</v>
      </c>
      <c r="C180" s="6">
        <v>52.1</v>
      </c>
      <c r="D180" s="7">
        <f>SUM($C$26:C180)</f>
        <v>13472.58</v>
      </c>
      <c r="E180" s="8">
        <f t="shared" si="2"/>
        <v>0.7828598722561575</v>
      </c>
      <c r="F180" s="31">
        <f>ROWS($A$26:A180)/COUNTA($A$26:$A$312)</f>
        <v>0.54006968641114983</v>
      </c>
    </row>
    <row r="181" spans="1:6">
      <c r="A181" s="30" t="s">
        <v>167</v>
      </c>
      <c r="B181" s="5" t="s">
        <v>1314</v>
      </c>
      <c r="C181" s="6">
        <v>52.02</v>
      </c>
      <c r="D181" s="7">
        <f>SUM($C$26:C181)</f>
        <v>13524.6</v>
      </c>
      <c r="E181" s="8">
        <f t="shared" si="2"/>
        <v>0.78588263185786444</v>
      </c>
      <c r="F181" s="31">
        <f>ROWS($A$26:A181)/COUNTA($A$26:$A$312)</f>
        <v>0.54355400696864109</v>
      </c>
    </row>
    <row r="182" spans="1:6">
      <c r="A182" s="30" t="s">
        <v>691</v>
      </c>
      <c r="B182" s="5" t="s">
        <v>1314</v>
      </c>
      <c r="C182" s="6">
        <v>51.7</v>
      </c>
      <c r="D182" s="7">
        <f>SUM($C$26:C182)</f>
        <v>13576.300000000001</v>
      </c>
      <c r="E182" s="8">
        <f t="shared" si="2"/>
        <v>0.78888679701373243</v>
      </c>
      <c r="F182" s="31">
        <f>ROWS($A$26:A182)/COUNTA($A$26:$A$312)</f>
        <v>0.54703832752613235</v>
      </c>
    </row>
    <row r="183" spans="1:6">
      <c r="A183" s="30" t="s">
        <v>80</v>
      </c>
      <c r="B183" s="5" t="s">
        <v>1316</v>
      </c>
      <c r="C183" s="6">
        <v>51.04</v>
      </c>
      <c r="D183" s="7">
        <f>SUM($C$26:C183)</f>
        <v>13627.340000000002</v>
      </c>
      <c r="E183" s="8">
        <f t="shared" si="2"/>
        <v>0.79185261112505745</v>
      </c>
      <c r="F183" s="31">
        <f>ROWS($A$26:A183)/COUNTA($A$26:$A$312)</f>
        <v>0.55052264808362372</v>
      </c>
    </row>
    <row r="184" spans="1:6">
      <c r="A184" s="30" t="s">
        <v>828</v>
      </c>
      <c r="B184" s="5" t="s">
        <v>1314</v>
      </c>
      <c r="C184" s="6">
        <v>50.93</v>
      </c>
      <c r="D184" s="7">
        <f>SUM($C$26:C184)</f>
        <v>13678.270000000002</v>
      </c>
      <c r="E184" s="8">
        <f t="shared" si="2"/>
        <v>0.79481203339562523</v>
      </c>
      <c r="F184" s="31">
        <f>ROWS($A$26:A184)/COUNTA($A$26:$A$312)</f>
        <v>0.55400696864111498</v>
      </c>
    </row>
    <row r="185" spans="1:6">
      <c r="A185" s="30" t="s">
        <v>37</v>
      </c>
      <c r="B185" s="5" t="s">
        <v>1314</v>
      </c>
      <c r="C185" s="6">
        <v>50.75</v>
      </c>
      <c r="D185" s="7">
        <f>SUM($C$26:C185)</f>
        <v>13729.020000000002</v>
      </c>
      <c r="E185" s="8">
        <f t="shared" si="2"/>
        <v>0.79776099629040853</v>
      </c>
      <c r="F185" s="31">
        <f>ROWS($A$26:A185)/COUNTA($A$26:$A$312)</f>
        <v>0.55749128919860624</v>
      </c>
    </row>
    <row r="186" spans="1:6">
      <c r="A186" s="30" t="s">
        <v>315</v>
      </c>
      <c r="B186" s="5" t="s">
        <v>1316</v>
      </c>
      <c r="C186" s="6">
        <v>50.73</v>
      </c>
      <c r="D186" s="7">
        <f>SUM($C$26:C186)</f>
        <v>13779.750000000002</v>
      </c>
      <c r="E186" s="8">
        <f t="shared" si="2"/>
        <v>0.800708797032327</v>
      </c>
      <c r="F186" s="31">
        <f>ROWS($A$26:A186)/COUNTA($A$26:$A$312)</f>
        <v>0.56097560975609762</v>
      </c>
    </row>
    <row r="187" spans="1:6">
      <c r="A187" s="30" t="s">
        <v>124</v>
      </c>
      <c r="B187" s="5" t="s">
        <v>1315</v>
      </c>
      <c r="C187" s="6">
        <v>50.21</v>
      </c>
      <c r="D187" s="7">
        <f>SUM($C$26:C187)</f>
        <v>13829.960000000001</v>
      </c>
      <c r="E187" s="8">
        <f t="shared" si="2"/>
        <v>0.80362638179975687</v>
      </c>
      <c r="F187" s="31">
        <f>ROWS($A$26:A187)/COUNTA($A$26:$A$312)</f>
        <v>0.56445993031358888</v>
      </c>
    </row>
    <row r="188" spans="1:6">
      <c r="A188" s="30" t="s">
        <v>258</v>
      </c>
      <c r="B188" s="5" t="s">
        <v>1313</v>
      </c>
      <c r="C188" s="6">
        <v>49.97</v>
      </c>
      <c r="D188" s="7">
        <f>SUM($C$26:C188)</f>
        <v>13879.93</v>
      </c>
      <c r="E188" s="8">
        <f t="shared" si="2"/>
        <v>0.80653002073280755</v>
      </c>
      <c r="F188" s="31">
        <f>ROWS($A$26:A188)/COUNTA($A$26:$A$312)</f>
        <v>0.56794425087108014</v>
      </c>
    </row>
    <row r="189" spans="1:6">
      <c r="A189" s="30" t="s">
        <v>497</v>
      </c>
      <c r="B189" s="5" t="s">
        <v>1314</v>
      </c>
      <c r="C189" s="6">
        <v>49.8</v>
      </c>
      <c r="D189" s="7">
        <f>SUM($C$26:C189)</f>
        <v>13929.73</v>
      </c>
      <c r="E189" s="8">
        <f t="shared" si="2"/>
        <v>0.80942378136650617</v>
      </c>
      <c r="F189" s="31">
        <f>ROWS($A$26:A189)/COUNTA($A$26:$A$312)</f>
        <v>0.5714285714285714</v>
      </c>
    </row>
    <row r="190" spans="1:6">
      <c r="A190" s="30" t="s">
        <v>357</v>
      </c>
      <c r="B190" s="5" t="s">
        <v>1316</v>
      </c>
      <c r="C190" s="6">
        <v>49.29</v>
      </c>
      <c r="D190" s="7">
        <f>SUM($C$26:C190)</f>
        <v>13979.02</v>
      </c>
      <c r="E190" s="8">
        <f t="shared" si="2"/>
        <v>0.81228790710214904</v>
      </c>
      <c r="F190" s="31">
        <f>ROWS($A$26:A190)/COUNTA($A$26:$A$312)</f>
        <v>0.57491289198606277</v>
      </c>
    </row>
    <row r="191" spans="1:6">
      <c r="A191" s="30" t="s">
        <v>1082</v>
      </c>
      <c r="B191" s="5" t="s">
        <v>1315</v>
      </c>
      <c r="C191" s="6">
        <v>48.74</v>
      </c>
      <c r="D191" s="7">
        <f>SUM($C$26:C191)</f>
        <v>14027.76</v>
      </c>
      <c r="E191" s="8">
        <f t="shared" si="2"/>
        <v>0.81512007363400596</v>
      </c>
      <c r="F191" s="31">
        <f>ROWS($A$26:A191)/COUNTA($A$26:$A$312)</f>
        <v>0.57839721254355403</v>
      </c>
    </row>
    <row r="192" spans="1:6">
      <c r="A192" s="30" t="s">
        <v>1000</v>
      </c>
      <c r="B192" s="5" t="s">
        <v>1316</v>
      </c>
      <c r="C192" s="6">
        <v>48.06</v>
      </c>
      <c r="D192" s="7">
        <f>SUM($C$26:C192)</f>
        <v>14075.82</v>
      </c>
      <c r="E192" s="8">
        <f t="shared" si="2"/>
        <v>0.81791272696845496</v>
      </c>
      <c r="F192" s="31">
        <f>ROWS($A$26:A192)/COUNTA($A$26:$A$312)</f>
        <v>0.58188153310104529</v>
      </c>
    </row>
    <row r="193" spans="1:6">
      <c r="A193" s="30" t="s">
        <v>205</v>
      </c>
      <c r="B193" s="5" t="s">
        <v>1316</v>
      </c>
      <c r="C193" s="6">
        <v>47.96</v>
      </c>
      <c r="D193" s="7">
        <f>SUM($C$26:C193)</f>
        <v>14123.779999999999</v>
      </c>
      <c r="E193" s="8">
        <f t="shared" si="2"/>
        <v>0.82069956953857914</v>
      </c>
      <c r="F193" s="31">
        <f>ROWS($A$26:A193)/COUNTA($A$26:$A$312)</f>
        <v>0.58536585365853655</v>
      </c>
    </row>
    <row r="194" spans="1:6">
      <c r="A194" s="30" t="s">
        <v>483</v>
      </c>
      <c r="B194" s="5" t="s">
        <v>1314</v>
      </c>
      <c r="C194" s="6">
        <v>47.76</v>
      </c>
      <c r="D194" s="7">
        <f>SUM($C$26:C194)</f>
        <v>14171.539999999999</v>
      </c>
      <c r="E194" s="8">
        <f t="shared" si="2"/>
        <v>0.82347479058005413</v>
      </c>
      <c r="F194" s="31">
        <f>ROWS($A$26:A194)/COUNTA($A$26:$A$312)</f>
        <v>0.58885017421602792</v>
      </c>
    </row>
    <row r="195" spans="1:6">
      <c r="A195" s="30" t="s">
        <v>528</v>
      </c>
      <c r="B195" s="5" t="s">
        <v>1316</v>
      </c>
      <c r="C195" s="6">
        <v>47.45</v>
      </c>
      <c r="D195" s="7">
        <f>SUM($C$26:C195)</f>
        <v>14218.99</v>
      </c>
      <c r="E195" s="8">
        <f t="shared" si="2"/>
        <v>0.82623199825212246</v>
      </c>
      <c r="F195" s="31">
        <f>ROWS($A$26:A195)/COUNTA($A$26:$A$312)</f>
        <v>0.59233449477351918</v>
      </c>
    </row>
    <row r="196" spans="1:6">
      <c r="A196" s="30" t="s">
        <v>444</v>
      </c>
      <c r="B196" s="5" t="s">
        <v>1316</v>
      </c>
      <c r="C196" s="6">
        <v>47.22</v>
      </c>
      <c r="D196" s="7">
        <f>SUM($C$26:C196)</f>
        <v>14266.21</v>
      </c>
      <c r="E196" s="8">
        <f t="shared" si="2"/>
        <v>0.82897584116624401</v>
      </c>
      <c r="F196" s="31">
        <f>ROWS($A$26:A196)/COUNTA($A$26:$A$312)</f>
        <v>0.59581881533101044</v>
      </c>
    </row>
    <row r="197" spans="1:6">
      <c r="A197" s="30" t="s">
        <v>546</v>
      </c>
      <c r="B197" s="5" t="s">
        <v>1316</v>
      </c>
      <c r="C197" s="6">
        <v>46.61</v>
      </c>
      <c r="D197" s="7">
        <f>SUM($C$26:C197)</f>
        <v>14312.82</v>
      </c>
      <c r="E197" s="8">
        <f t="shared" si="2"/>
        <v>0.831684238417985</v>
      </c>
      <c r="F197" s="31">
        <f>ROWS($A$26:A197)/COUNTA($A$26:$A$312)</f>
        <v>0.5993031358885017</v>
      </c>
    </row>
    <row r="198" spans="1:6">
      <c r="A198" s="30" t="s">
        <v>542</v>
      </c>
      <c r="B198" s="5" t="s">
        <v>1316</v>
      </c>
      <c r="C198" s="6">
        <v>46.1</v>
      </c>
      <c r="D198" s="7">
        <f>SUM($C$26:C198)</f>
        <v>14358.92</v>
      </c>
      <c r="E198" s="8">
        <f t="shared" si="2"/>
        <v>0.83436300077166992</v>
      </c>
      <c r="F198" s="31">
        <f>ROWS($A$26:A198)/COUNTA($A$26:$A$312)</f>
        <v>0.60278745644599308</v>
      </c>
    </row>
    <row r="199" spans="1:6">
      <c r="A199" s="30" t="s">
        <v>153</v>
      </c>
      <c r="B199" s="5" t="s">
        <v>1316</v>
      </c>
      <c r="C199" s="6">
        <v>46.04</v>
      </c>
      <c r="D199" s="7">
        <f>SUM($C$26:C199)</f>
        <v>14404.960000000001</v>
      </c>
      <c r="E199" s="8">
        <f t="shared" si="2"/>
        <v>0.83703827666676012</v>
      </c>
      <c r="F199" s="31">
        <f>ROWS($A$26:A199)/COUNTA($A$26:$A$312)</f>
        <v>0.60627177700348434</v>
      </c>
    </row>
    <row r="200" spans="1:6">
      <c r="A200" s="30" t="s">
        <v>493</v>
      </c>
      <c r="B200" s="5" t="s">
        <v>1316</v>
      </c>
      <c r="C200" s="6">
        <v>45.87</v>
      </c>
      <c r="D200" s="7">
        <f>SUM($C$26:C200)</f>
        <v>14450.830000000002</v>
      </c>
      <c r="E200" s="8">
        <f t="shared" si="2"/>
        <v>0.83970367426249837</v>
      </c>
      <c r="F200" s="31">
        <f>ROWS($A$26:A200)/COUNTA($A$26:$A$312)</f>
        <v>0.6097560975609756</v>
      </c>
    </row>
    <row r="201" spans="1:6">
      <c r="A201" s="30" t="s">
        <v>197</v>
      </c>
      <c r="B201" s="5" t="s">
        <v>1316</v>
      </c>
      <c r="C201" s="6">
        <v>45.68</v>
      </c>
      <c r="D201" s="7">
        <f>SUM($C$26:C201)</f>
        <v>14496.510000000002</v>
      </c>
      <c r="E201" s="8">
        <f t="shared" si="2"/>
        <v>0.84235803140601961</v>
      </c>
      <c r="F201" s="31">
        <f>ROWS($A$26:A201)/COUNTA($A$26:$A$312)</f>
        <v>0.61324041811846686</v>
      </c>
    </row>
    <row r="202" spans="1:6">
      <c r="A202" s="30" t="s">
        <v>1089</v>
      </c>
      <c r="B202" s="5" t="s">
        <v>1315</v>
      </c>
      <c r="C202" s="6">
        <v>44.73</v>
      </c>
      <c r="D202" s="7">
        <f>SUM($C$26:C202)</f>
        <v>14541.240000000002</v>
      </c>
      <c r="E202" s="8">
        <f t="shared" si="2"/>
        <v>0.84495718628845617</v>
      </c>
      <c r="F202" s="31">
        <f>ROWS($A$26:A202)/COUNTA($A$26:$A$312)</f>
        <v>0.61672473867595823</v>
      </c>
    </row>
    <row r="203" spans="1:6">
      <c r="A203" s="30" t="s">
        <v>39</v>
      </c>
      <c r="B203" s="5" t="s">
        <v>1316</v>
      </c>
      <c r="C203" s="6">
        <v>44.35</v>
      </c>
      <c r="D203" s="7">
        <f>SUM($C$26:C203)</f>
        <v>14585.590000000002</v>
      </c>
      <c r="E203" s="8">
        <f t="shared" si="2"/>
        <v>0.84753426026645895</v>
      </c>
      <c r="F203" s="31">
        <f>ROWS($A$26:A203)/COUNTA($A$26:$A$312)</f>
        <v>0.62020905923344949</v>
      </c>
    </row>
    <row r="204" spans="1:6">
      <c r="A204" s="30" t="s">
        <v>387</v>
      </c>
      <c r="B204" s="5" t="s">
        <v>1315</v>
      </c>
      <c r="C204" s="6">
        <v>41.95</v>
      </c>
      <c r="D204" s="7">
        <f>SUM($C$26:C204)</f>
        <v>14627.540000000003</v>
      </c>
      <c r="E204" s="8">
        <f t="shared" si="2"/>
        <v>0.84997187590066903</v>
      </c>
      <c r="F204" s="31">
        <f>ROWS($A$26:A204)/COUNTA($A$26:$A$312)</f>
        <v>0.62369337979094075</v>
      </c>
    </row>
    <row r="205" spans="1:6">
      <c r="A205" s="30" t="s">
        <v>592</v>
      </c>
      <c r="B205" s="5" t="s">
        <v>1314</v>
      </c>
      <c r="C205" s="6">
        <v>41.64</v>
      </c>
      <c r="D205" s="7">
        <f>SUM($C$26:C205)</f>
        <v>14669.180000000002</v>
      </c>
      <c r="E205" s="8">
        <f t="shared" si="2"/>
        <v>0.85239147816547256</v>
      </c>
      <c r="F205" s="31">
        <f>ROWS($A$26:A205)/COUNTA($A$26:$A$312)</f>
        <v>0.62717770034843201</v>
      </c>
    </row>
    <row r="206" spans="1:6">
      <c r="A206" s="30" t="s">
        <v>102</v>
      </c>
      <c r="B206" s="5" t="s">
        <v>1315</v>
      </c>
      <c r="C206" s="6">
        <v>41.38</v>
      </c>
      <c r="D206" s="7">
        <f>SUM($C$26:C206)</f>
        <v>14710.560000000001</v>
      </c>
      <c r="E206" s="8">
        <f t="shared" si="2"/>
        <v>0.85479597244303174</v>
      </c>
      <c r="F206" s="31">
        <f>ROWS($A$26:A206)/COUNTA($A$26:$A$312)</f>
        <v>0.63066202090592338</v>
      </c>
    </row>
    <row r="207" spans="1:6">
      <c r="A207" s="30" t="s">
        <v>682</v>
      </c>
      <c r="B207" s="5" t="s">
        <v>1316</v>
      </c>
      <c r="C207" s="6">
        <v>41.33</v>
      </c>
      <c r="D207" s="7">
        <f>SUM($C$26:C207)</f>
        <v>14751.890000000001</v>
      </c>
      <c r="E207" s="8">
        <f t="shared" si="2"/>
        <v>0.85719756133842873</v>
      </c>
      <c r="F207" s="31">
        <f>ROWS($A$26:A207)/COUNTA($A$26:$A$312)</f>
        <v>0.63414634146341464</v>
      </c>
    </row>
    <row r="208" spans="1:6">
      <c r="A208" s="30" t="s">
        <v>228</v>
      </c>
      <c r="B208" s="5" t="s">
        <v>1316</v>
      </c>
      <c r="C208" s="6">
        <v>41.12</v>
      </c>
      <c r="D208" s="7">
        <f>SUM($C$26:C208)</f>
        <v>14793.010000000002</v>
      </c>
      <c r="E208" s="8">
        <f t="shared" si="2"/>
        <v>0.85958694762874388</v>
      </c>
      <c r="F208" s="31">
        <f>ROWS($A$26:A208)/COUNTA($A$26:$A$312)</f>
        <v>0.6376306620209059</v>
      </c>
    </row>
    <row r="209" spans="1:6">
      <c r="A209" s="30" t="s">
        <v>434</v>
      </c>
      <c r="B209" s="5" t="s">
        <v>1316</v>
      </c>
      <c r="C209" s="6">
        <v>41</v>
      </c>
      <c r="D209" s="7">
        <f>SUM($C$26:C209)</f>
        <v>14834.010000000002</v>
      </c>
      <c r="E209" s="8">
        <f t="shared" si="2"/>
        <v>0.86196936100186927</v>
      </c>
      <c r="F209" s="31">
        <f>ROWS($A$26:A209)/COUNTA($A$26:$A$312)</f>
        <v>0.64111498257839716</v>
      </c>
    </row>
    <row r="210" spans="1:6">
      <c r="A210" s="30" t="s">
        <v>657</v>
      </c>
      <c r="B210" s="5" t="s">
        <v>1316</v>
      </c>
      <c r="C210" s="6">
        <v>40.78</v>
      </c>
      <c r="D210" s="7">
        <f>SUM($C$26:C210)</f>
        <v>14874.790000000003</v>
      </c>
      <c r="E210" s="8">
        <f t="shared" si="2"/>
        <v>0.86433899069348041</v>
      </c>
      <c r="F210" s="31">
        <f>ROWS($A$26:A210)/COUNTA($A$26:$A$312)</f>
        <v>0.64459930313588854</v>
      </c>
    </row>
    <row r="211" spans="1:6">
      <c r="A211" s="30" t="s">
        <v>72</v>
      </c>
      <c r="B211" s="5" t="s">
        <v>1314</v>
      </c>
      <c r="C211" s="6">
        <v>40.74</v>
      </c>
      <c r="D211" s="7">
        <f>SUM($C$26:C211)</f>
        <v>14915.530000000002</v>
      </c>
      <c r="E211" s="8">
        <f t="shared" si="2"/>
        <v>0.86670629607936167</v>
      </c>
      <c r="F211" s="31">
        <f>ROWS($A$26:A211)/COUNTA($A$26:$A$312)</f>
        <v>0.6480836236933798</v>
      </c>
    </row>
    <row r="212" spans="1:6">
      <c r="A212" s="30" t="s">
        <v>742</v>
      </c>
      <c r="B212" s="5" t="s">
        <v>1316</v>
      </c>
      <c r="C212" s="6">
        <v>40.36</v>
      </c>
      <c r="D212" s="7">
        <f>SUM($C$26:C212)</f>
        <v>14955.890000000003</v>
      </c>
      <c r="E212" s="8">
        <f t="shared" si="2"/>
        <v>0.86905152056080914</v>
      </c>
      <c r="F212" s="31">
        <f>ROWS($A$26:A212)/COUNTA($A$26:$A$312)</f>
        <v>0.65156794425087106</v>
      </c>
    </row>
    <row r="213" spans="1:6">
      <c r="A213" s="30" t="s">
        <v>719</v>
      </c>
      <c r="B213" s="5" t="s">
        <v>1315</v>
      </c>
      <c r="C213" s="6">
        <v>40.29</v>
      </c>
      <c r="D213" s="7">
        <f>SUM($C$26:C213)</f>
        <v>14996.180000000004</v>
      </c>
      <c r="E213" s="8">
        <f t="shared" si="2"/>
        <v>0.87139267750722926</v>
      </c>
      <c r="F213" s="31">
        <f>ROWS($A$26:A213)/COUNTA($A$26:$A$312)</f>
        <v>0.65505226480836232</v>
      </c>
    </row>
    <row r="214" spans="1:6">
      <c r="A214" s="30" t="s">
        <v>221</v>
      </c>
      <c r="B214" s="5" t="s">
        <v>1314</v>
      </c>
      <c r="C214" s="6">
        <v>40.15</v>
      </c>
      <c r="D214" s="7">
        <f>SUM($C$26:C214)</f>
        <v>15036.330000000004</v>
      </c>
      <c r="E214" s="8">
        <f t="shared" si="2"/>
        <v>0.87372569938359479</v>
      </c>
      <c r="F214" s="31">
        <f>ROWS($A$26:A214)/COUNTA($A$26:$A$312)</f>
        <v>0.65853658536585369</v>
      </c>
    </row>
    <row r="215" spans="1:6">
      <c r="A215" s="30" t="s">
        <v>590</v>
      </c>
      <c r="B215" s="5" t="s">
        <v>1315</v>
      </c>
      <c r="C215" s="6">
        <v>39.26</v>
      </c>
      <c r="D215" s="7">
        <f>SUM($C$26:C215)</f>
        <v>15075.590000000004</v>
      </c>
      <c r="E215" s="8">
        <f t="shared" si="2"/>
        <v>0.87600700545747046</v>
      </c>
      <c r="F215" s="31">
        <f>ROWS($A$26:A215)/COUNTA($A$26:$A$312)</f>
        <v>0.66202090592334495</v>
      </c>
    </row>
    <row r="216" spans="1:6">
      <c r="A216" s="30" t="s">
        <v>846</v>
      </c>
      <c r="B216" s="5" t="s">
        <v>1316</v>
      </c>
      <c r="C216" s="6">
        <v>38.49</v>
      </c>
      <c r="D216" s="7">
        <f>SUM($C$26:C216)</f>
        <v>15114.080000000004</v>
      </c>
      <c r="E216" s="8">
        <f t="shared" si="2"/>
        <v>0.87824356864604602</v>
      </c>
      <c r="F216" s="31">
        <f>ROWS($A$26:A216)/COUNTA($A$26:$A$312)</f>
        <v>0.66550522648083621</v>
      </c>
    </row>
    <row r="217" spans="1:6">
      <c r="A217" s="30" t="s">
        <v>448</v>
      </c>
      <c r="B217" s="5" t="s">
        <v>1316</v>
      </c>
      <c r="C217" s="6">
        <v>37.869999999999997</v>
      </c>
      <c r="D217" s="7">
        <f>SUM($C$26:C217)</f>
        <v>15151.950000000004</v>
      </c>
      <c r="E217" s="8">
        <f t="shared" si="2"/>
        <v>0.88044410509580862</v>
      </c>
      <c r="F217" s="31">
        <f>ROWS($A$26:A217)/COUNTA($A$26:$A$312)</f>
        <v>0.66898954703832758</v>
      </c>
    </row>
    <row r="218" spans="1:6">
      <c r="A218" s="30" t="s">
        <v>340</v>
      </c>
      <c r="B218" s="5" t="s">
        <v>1316</v>
      </c>
      <c r="C218" s="6">
        <v>37.729999999999997</v>
      </c>
      <c r="D218" s="7">
        <f>SUM($C$26:C218)</f>
        <v>15189.680000000004</v>
      </c>
      <c r="E218" s="8">
        <f t="shared" si="2"/>
        <v>0.88263650647551639</v>
      </c>
      <c r="F218" s="31">
        <f>ROWS($A$26:A218)/COUNTA($A$26:$A$312)</f>
        <v>0.67247386759581884</v>
      </c>
    </row>
    <row r="219" spans="1:6">
      <c r="A219" s="30" t="s">
        <v>209</v>
      </c>
      <c r="B219" s="5" t="s">
        <v>1316</v>
      </c>
      <c r="C219" s="6">
        <v>37.590000000000003</v>
      </c>
      <c r="D219" s="7">
        <f>SUM($C$26:C219)</f>
        <v>15227.270000000004</v>
      </c>
      <c r="E219" s="8">
        <f t="shared" ref="E219:E282" si="3">D219/$D$312</f>
        <v>0.8848207727851698</v>
      </c>
      <c r="F219" s="31">
        <f>ROWS($A$26:A219)/COUNTA($A$26:$A$312)</f>
        <v>0.6759581881533101</v>
      </c>
    </row>
    <row r="220" spans="1:6">
      <c r="A220" s="30" t="s">
        <v>159</v>
      </c>
      <c r="B220" s="5" t="s">
        <v>1316</v>
      </c>
      <c r="C220" s="6">
        <v>37.58</v>
      </c>
      <c r="D220" s="7">
        <f>SUM($C$26:C220)</f>
        <v>15264.850000000004</v>
      </c>
      <c r="E220" s="8">
        <f t="shared" si="3"/>
        <v>0.88700445801839056</v>
      </c>
      <c r="F220" s="31">
        <f>ROWS($A$26:A220)/COUNTA($A$26:$A$312)</f>
        <v>0.67944250871080136</v>
      </c>
    </row>
    <row r="221" spans="1:6">
      <c r="A221" s="30" t="s">
        <v>325</v>
      </c>
      <c r="B221" s="5" t="s">
        <v>1316</v>
      </c>
      <c r="C221" s="6">
        <v>36.65</v>
      </c>
      <c r="D221" s="7">
        <f>SUM($C$26:C221)</f>
        <v>15301.500000000004</v>
      </c>
      <c r="E221" s="8">
        <f t="shared" si="3"/>
        <v>0.8891341031433917</v>
      </c>
      <c r="F221" s="31">
        <f>ROWS($A$26:A221)/COUNTA($A$26:$A$312)</f>
        <v>0.68292682926829273</v>
      </c>
    </row>
    <row r="222" spans="1:6">
      <c r="A222" s="30" t="s">
        <v>185</v>
      </c>
      <c r="B222" s="5" t="s">
        <v>1316</v>
      </c>
      <c r="C222" s="6">
        <v>36.299999999999997</v>
      </c>
      <c r="D222" s="7">
        <f>SUM($C$26:C222)</f>
        <v>15337.800000000003</v>
      </c>
      <c r="E222" s="8">
        <f t="shared" si="3"/>
        <v>0.8912434105932564</v>
      </c>
      <c r="F222" s="31">
        <f>ROWS($A$26:A222)/COUNTA($A$26:$A$312)</f>
        <v>0.68641114982578399</v>
      </c>
    </row>
    <row r="223" spans="1:6">
      <c r="A223" s="30" t="s">
        <v>15</v>
      </c>
      <c r="B223" s="5" t="s">
        <v>1314</v>
      </c>
      <c r="C223" s="6">
        <v>35.17</v>
      </c>
      <c r="D223" s="7">
        <f>SUM($C$26:C223)</f>
        <v>15372.970000000003</v>
      </c>
      <c r="E223" s="8">
        <f t="shared" si="3"/>
        <v>0.89328705640625206</v>
      </c>
      <c r="F223" s="31">
        <f>ROWS($A$26:A223)/COUNTA($A$26:$A$312)</f>
        <v>0.68989547038327526</v>
      </c>
    </row>
    <row r="224" spans="1:6">
      <c r="A224" s="30" t="s">
        <v>202</v>
      </c>
      <c r="B224" s="5" t="s">
        <v>1314</v>
      </c>
      <c r="C224" s="6">
        <v>35.08</v>
      </c>
      <c r="D224" s="7">
        <f>SUM($C$26:C224)</f>
        <v>15408.050000000003</v>
      </c>
      <c r="E224" s="8">
        <f t="shared" si="3"/>
        <v>0.89532547253135553</v>
      </c>
      <c r="F224" s="31">
        <f>ROWS($A$26:A224)/COUNTA($A$26:$A$312)</f>
        <v>0.69337979094076652</v>
      </c>
    </row>
    <row r="225" spans="1:6">
      <c r="A225" s="30" t="s">
        <v>992</v>
      </c>
      <c r="B225" s="5" t="s">
        <v>1315</v>
      </c>
      <c r="C225" s="6">
        <v>34.880000000000003</v>
      </c>
      <c r="D225" s="7">
        <f>SUM($C$26:C225)</f>
        <v>15442.930000000002</v>
      </c>
      <c r="E225" s="8">
        <f t="shared" si="3"/>
        <v>0.89735226712780947</v>
      </c>
      <c r="F225" s="31">
        <f>ROWS($A$26:A225)/COUNTA($A$26:$A$312)</f>
        <v>0.69686411149825789</v>
      </c>
    </row>
    <row r="226" spans="1:6">
      <c r="A226" s="30" t="s">
        <v>922</v>
      </c>
      <c r="B226" s="5" t="s">
        <v>1316</v>
      </c>
      <c r="C226" s="6">
        <v>34.479999999999997</v>
      </c>
      <c r="D226" s="7">
        <f>SUM($C$26:C226)</f>
        <v>15477.410000000002</v>
      </c>
      <c r="E226" s="8">
        <f t="shared" si="3"/>
        <v>0.89935581866696468</v>
      </c>
      <c r="F226" s="31">
        <f>ROWS($A$26:A226)/COUNTA($A$26:$A$312)</f>
        <v>0.70034843205574915</v>
      </c>
    </row>
    <row r="227" spans="1:6">
      <c r="A227" s="30" t="s">
        <v>49</v>
      </c>
      <c r="B227" s="5" t="s">
        <v>1314</v>
      </c>
      <c r="C227" s="6">
        <v>34.4</v>
      </c>
      <c r="D227" s="7">
        <f>SUM($C$26:C227)</f>
        <v>15511.810000000001</v>
      </c>
      <c r="E227" s="8">
        <f t="shared" si="3"/>
        <v>0.90135472159466024</v>
      </c>
      <c r="F227" s="31">
        <f>ROWS($A$26:A227)/COUNTA($A$26:$A$312)</f>
        <v>0.70383275261324041</v>
      </c>
    </row>
    <row r="228" spans="1:6">
      <c r="A228" s="30" t="s">
        <v>502</v>
      </c>
      <c r="B228" s="5" t="s">
        <v>1316</v>
      </c>
      <c r="C228" s="6">
        <v>34.24</v>
      </c>
      <c r="D228" s="7">
        <f>SUM($C$26:C228)</f>
        <v>15546.050000000001</v>
      </c>
      <c r="E228" s="8">
        <f t="shared" si="3"/>
        <v>0.90334432729943615</v>
      </c>
      <c r="F228" s="31">
        <f>ROWS($A$26:A228)/COUNTA($A$26:$A$312)</f>
        <v>0.70731707317073167</v>
      </c>
    </row>
    <row r="229" spans="1:6">
      <c r="A229" s="30" t="s">
        <v>514</v>
      </c>
      <c r="B229" s="5" t="s">
        <v>1315</v>
      </c>
      <c r="C229" s="6">
        <v>33.97</v>
      </c>
      <c r="D229" s="7">
        <f>SUM($C$26:C229)</f>
        <v>15580.02</v>
      </c>
      <c r="E229" s="8">
        <f t="shared" si="3"/>
        <v>0.90531824394053539</v>
      </c>
      <c r="F229" s="31">
        <f>ROWS($A$26:A229)/COUNTA($A$26:$A$312)</f>
        <v>0.71080139372822304</v>
      </c>
    </row>
    <row r="230" spans="1:6">
      <c r="A230" s="30" t="s">
        <v>544</v>
      </c>
      <c r="B230" s="5" t="s">
        <v>1316</v>
      </c>
      <c r="C230" s="6">
        <v>33.950000000000003</v>
      </c>
      <c r="D230" s="7">
        <f>SUM($C$26:C230)</f>
        <v>15613.970000000001</v>
      </c>
      <c r="E230" s="8">
        <f t="shared" si="3"/>
        <v>0.90729099842876981</v>
      </c>
      <c r="F230" s="31">
        <f>ROWS($A$26:A230)/COUNTA($A$26:$A$312)</f>
        <v>0.7142857142857143</v>
      </c>
    </row>
    <row r="231" spans="1:6">
      <c r="A231" s="30" t="s">
        <v>823</v>
      </c>
      <c r="B231" s="5" t="s">
        <v>1316</v>
      </c>
      <c r="C231" s="6">
        <v>33.65</v>
      </c>
      <c r="D231" s="7">
        <f>SUM($C$26:C231)</f>
        <v>15647.62</v>
      </c>
      <c r="E231" s="8">
        <f t="shared" si="3"/>
        <v>0.9092463206240301</v>
      </c>
      <c r="F231" s="31">
        <f>ROWS($A$26:A231)/COUNTA($A$26:$A$312)</f>
        <v>0.71777003484320556</v>
      </c>
    </row>
    <row r="232" spans="1:6">
      <c r="A232" s="30" t="s">
        <v>679</v>
      </c>
      <c r="B232" s="5" t="s">
        <v>1315</v>
      </c>
      <c r="C232" s="6">
        <v>33.6</v>
      </c>
      <c r="D232" s="7">
        <f>SUM($C$26:C232)</f>
        <v>15681.220000000001</v>
      </c>
      <c r="E232" s="8">
        <f t="shared" si="3"/>
        <v>0.91119873743712809</v>
      </c>
      <c r="F232" s="31">
        <f>ROWS($A$26:A232)/COUNTA($A$26:$A$312)</f>
        <v>0.72125435540069682</v>
      </c>
    </row>
    <row r="233" spans="1:6">
      <c r="A233" s="30" t="s">
        <v>238</v>
      </c>
      <c r="B233" s="5" t="s">
        <v>1316</v>
      </c>
      <c r="C233" s="6">
        <v>33.46</v>
      </c>
      <c r="D233" s="7">
        <f>SUM($C$26:C233)</f>
        <v>15714.68</v>
      </c>
      <c r="E233" s="8">
        <f t="shared" si="3"/>
        <v>0.91314301918017138</v>
      </c>
      <c r="F233" s="31">
        <f>ROWS($A$26:A233)/COUNTA($A$26:$A$312)</f>
        <v>0.72473867595818819</v>
      </c>
    </row>
    <row r="234" spans="1:6">
      <c r="A234" s="30" t="s">
        <v>491</v>
      </c>
      <c r="B234" s="5" t="s">
        <v>1315</v>
      </c>
      <c r="C234" s="6">
        <v>33.44</v>
      </c>
      <c r="D234" s="7">
        <f>SUM($C$26:C234)</f>
        <v>15748.12</v>
      </c>
      <c r="E234" s="8">
        <f t="shared" si="3"/>
        <v>0.91508613877034983</v>
      </c>
      <c r="F234" s="31">
        <f>ROWS($A$26:A234)/COUNTA($A$26:$A$312)</f>
        <v>0.72822299651567945</v>
      </c>
    </row>
    <row r="235" spans="1:6">
      <c r="A235" s="30" t="s">
        <v>254</v>
      </c>
      <c r="B235" s="5" t="s">
        <v>1315</v>
      </c>
      <c r="C235" s="6">
        <v>33.43</v>
      </c>
      <c r="D235" s="7">
        <f>SUM($C$26:C235)</f>
        <v>15781.550000000001</v>
      </c>
      <c r="E235" s="8">
        <f t="shared" si="3"/>
        <v>0.91702867728409576</v>
      </c>
      <c r="F235" s="31">
        <f>ROWS($A$26:A235)/COUNTA($A$26:$A$312)</f>
        <v>0.73170731707317072</v>
      </c>
    </row>
    <row r="236" spans="1:6">
      <c r="A236" s="30" t="s">
        <v>776</v>
      </c>
      <c r="B236" s="5" t="s">
        <v>1315</v>
      </c>
      <c r="C236" s="6">
        <v>33.090000000000003</v>
      </c>
      <c r="D236" s="7">
        <f>SUM($C$26:C236)</f>
        <v>15814.640000000001</v>
      </c>
      <c r="E236" s="8">
        <f t="shared" si="3"/>
        <v>0.91895145919913779</v>
      </c>
      <c r="F236" s="31">
        <f>ROWS($A$26:A236)/COUNTA($A$26:$A$312)</f>
        <v>0.73519163763066198</v>
      </c>
    </row>
    <row r="237" spans="1:6">
      <c r="A237" s="30" t="s">
        <v>140</v>
      </c>
      <c r="B237" s="5" t="s">
        <v>1315</v>
      </c>
      <c r="C237" s="6">
        <v>32.729999999999997</v>
      </c>
      <c r="D237" s="7">
        <f>SUM($C$26:C237)</f>
        <v>15847.37</v>
      </c>
      <c r="E237" s="8">
        <f t="shared" si="3"/>
        <v>0.92085332236261075</v>
      </c>
      <c r="F237" s="31">
        <f>ROWS($A$26:A237)/COUNTA($A$26:$A$312)</f>
        <v>0.73867595818815335</v>
      </c>
    </row>
    <row r="238" spans="1:6">
      <c r="A238" s="30" t="s">
        <v>898</v>
      </c>
      <c r="B238" s="5" t="s">
        <v>1316</v>
      </c>
      <c r="C238" s="6">
        <v>32.49</v>
      </c>
      <c r="D238" s="7">
        <f>SUM($C$26:C238)</f>
        <v>15879.86</v>
      </c>
      <c r="E238" s="8">
        <f t="shared" si="3"/>
        <v>0.92274123969170463</v>
      </c>
      <c r="F238" s="31">
        <f>ROWS($A$26:A238)/COUNTA($A$26:$A$312)</f>
        <v>0.74216027874564461</v>
      </c>
    </row>
    <row r="239" spans="1:6">
      <c r="A239" s="30" t="s">
        <v>645</v>
      </c>
      <c r="B239" s="5" t="s">
        <v>1316</v>
      </c>
      <c r="C239" s="6">
        <v>32.299999999999997</v>
      </c>
      <c r="D239" s="7">
        <f>SUM($C$26:C239)</f>
        <v>15912.16</v>
      </c>
      <c r="E239" s="8">
        <f t="shared" si="3"/>
        <v>0.92461811656858139</v>
      </c>
      <c r="F239" s="31">
        <f>ROWS($A$26:A239)/COUNTA($A$26:$A$312)</f>
        <v>0.74564459930313587</v>
      </c>
    </row>
    <row r="240" spans="1:6">
      <c r="A240" s="30" t="s">
        <v>289</v>
      </c>
      <c r="B240" s="5" t="s">
        <v>1316</v>
      </c>
      <c r="C240" s="6">
        <v>32.14</v>
      </c>
      <c r="D240" s="7">
        <f>SUM($C$26:C240)</f>
        <v>15944.3</v>
      </c>
      <c r="E240" s="8">
        <f t="shared" si="3"/>
        <v>0.92648569622253873</v>
      </c>
      <c r="F240" s="31">
        <f>ROWS($A$26:A240)/COUNTA($A$26:$A$312)</f>
        <v>0.74912891986062713</v>
      </c>
    </row>
    <row r="241" spans="1:6">
      <c r="A241" s="30" t="s">
        <v>43</v>
      </c>
      <c r="B241" s="5" t="s">
        <v>1316</v>
      </c>
      <c r="C241" s="6">
        <v>31.41</v>
      </c>
      <c r="D241" s="7">
        <f>SUM($C$26:C241)</f>
        <v>15975.71</v>
      </c>
      <c r="E241" s="8">
        <f t="shared" si="3"/>
        <v>0.92831085729692586</v>
      </c>
      <c r="F241" s="31">
        <f>ROWS($A$26:A241)/COUNTA($A$26:$A$312)</f>
        <v>0.7526132404181185</v>
      </c>
    </row>
    <row r="242" spans="1:6">
      <c r="A242" s="30" t="s">
        <v>995</v>
      </c>
      <c r="B242" s="5" t="s">
        <v>1315</v>
      </c>
      <c r="C242" s="6">
        <v>30.95</v>
      </c>
      <c r="D242" s="7">
        <f>SUM($C$26:C242)</f>
        <v>16006.66</v>
      </c>
      <c r="E242" s="8">
        <f t="shared" si="3"/>
        <v>0.93010928885541932</v>
      </c>
      <c r="F242" s="31">
        <f>ROWS($A$26:A242)/COUNTA($A$26:$A$312)</f>
        <v>0.75609756097560976</v>
      </c>
    </row>
    <row r="243" spans="1:6">
      <c r="A243" s="30" t="s">
        <v>24</v>
      </c>
      <c r="B243" s="5" t="s">
        <v>1316</v>
      </c>
      <c r="C243" s="6">
        <v>30.9</v>
      </c>
      <c r="D243" s="7">
        <f>SUM($C$26:C243)</f>
        <v>16037.56</v>
      </c>
      <c r="E243" s="8">
        <f t="shared" si="3"/>
        <v>0.93190481503175049</v>
      </c>
      <c r="F243" s="31">
        <f>ROWS($A$26:A243)/COUNTA($A$26:$A$312)</f>
        <v>0.75958188153310102</v>
      </c>
    </row>
    <row r="244" spans="1:6">
      <c r="A244" s="30" t="s">
        <v>329</v>
      </c>
      <c r="B244" s="5" t="s">
        <v>1314</v>
      </c>
      <c r="C244" s="6">
        <v>30.69</v>
      </c>
      <c r="D244" s="7">
        <f>SUM($C$26:C244)</f>
        <v>16068.25</v>
      </c>
      <c r="E244" s="8">
        <f t="shared" si="3"/>
        <v>0.93368813860299971</v>
      </c>
      <c r="F244" s="31">
        <f>ROWS($A$26:A244)/COUNTA($A$26:$A$312)</f>
        <v>0.76306620209059228</v>
      </c>
    </row>
    <row r="245" spans="1:6">
      <c r="A245" s="30" t="s">
        <v>147</v>
      </c>
      <c r="B245" s="5" t="s">
        <v>1314</v>
      </c>
      <c r="C245" s="6">
        <v>30.27</v>
      </c>
      <c r="D245" s="7">
        <f>SUM($C$26:C245)</f>
        <v>16098.52</v>
      </c>
      <c r="E245" s="8">
        <f t="shared" si="3"/>
        <v>0.93544705696408537</v>
      </c>
      <c r="F245" s="31">
        <f>ROWS($A$26:A245)/COUNTA($A$26:$A$312)</f>
        <v>0.76655052264808365</v>
      </c>
    </row>
    <row r="246" spans="1:6">
      <c r="A246" s="30" t="s">
        <v>809</v>
      </c>
      <c r="B246" s="5" t="s">
        <v>1315</v>
      </c>
      <c r="C246" s="6">
        <v>29.84</v>
      </c>
      <c r="D246" s="7">
        <f>SUM($C$26:C246)</f>
        <v>16128.36</v>
      </c>
      <c r="E246" s="8">
        <f t="shared" si="3"/>
        <v>0.93718098903857472</v>
      </c>
      <c r="F246" s="31">
        <f>ROWS($A$26:A246)/COUNTA($A$26:$A$312)</f>
        <v>0.77003484320557491</v>
      </c>
    </row>
    <row r="247" spans="1:6">
      <c r="A247" s="30" t="s">
        <v>230</v>
      </c>
      <c r="B247" s="5" t="s">
        <v>1316</v>
      </c>
      <c r="C247" s="6">
        <v>29.38</v>
      </c>
      <c r="D247" s="7">
        <f>SUM($C$26:C247)</f>
        <v>16157.74</v>
      </c>
      <c r="E247" s="8">
        <f t="shared" si="3"/>
        <v>0.93888819159717041</v>
      </c>
      <c r="F247" s="31">
        <f>ROWS($A$26:A247)/COUNTA($A$26:$A$312)</f>
        <v>0.77351916376306618</v>
      </c>
    </row>
    <row r="248" spans="1:6">
      <c r="A248" s="30" t="s">
        <v>687</v>
      </c>
      <c r="B248" s="5" t="s">
        <v>1316</v>
      </c>
      <c r="C248" s="6">
        <v>29.13</v>
      </c>
      <c r="D248" s="7">
        <f>SUM($C$26:C248)</f>
        <v>16186.869999999999</v>
      </c>
      <c r="E248" s="8">
        <f t="shared" si="3"/>
        <v>0.94058086724495438</v>
      </c>
      <c r="F248" s="31">
        <f>ROWS($A$26:A248)/COUNTA($A$26:$A$312)</f>
        <v>0.77700348432055744</v>
      </c>
    </row>
    <row r="249" spans="1:6">
      <c r="A249" s="30" t="s">
        <v>1052</v>
      </c>
      <c r="B249" s="5" t="s">
        <v>1316</v>
      </c>
      <c r="C249" s="6">
        <v>28.03</v>
      </c>
      <c r="D249" s="7">
        <f>SUM($C$26:C249)</f>
        <v>16214.9</v>
      </c>
      <c r="E249" s="8">
        <f t="shared" si="3"/>
        <v>0.94220962448516676</v>
      </c>
      <c r="F249" s="31">
        <f>ROWS($A$26:A249)/COUNTA($A$26:$A$312)</f>
        <v>0.78048780487804881</v>
      </c>
    </row>
    <row r="250" spans="1:6">
      <c r="A250" s="30" t="s">
        <v>450</v>
      </c>
      <c r="B250" s="5" t="s">
        <v>1316</v>
      </c>
      <c r="C250" s="6">
        <v>27.89</v>
      </c>
      <c r="D250" s="7">
        <f>SUM($C$26:C250)</f>
        <v>16242.789999999999</v>
      </c>
      <c r="E250" s="8">
        <f t="shared" si="3"/>
        <v>0.94383024665532445</v>
      </c>
      <c r="F250" s="31">
        <f>ROWS($A$26:A250)/COUNTA($A$26:$A$312)</f>
        <v>0.78397212543554007</v>
      </c>
    </row>
    <row r="251" spans="1:6">
      <c r="A251" s="30" t="s">
        <v>562</v>
      </c>
      <c r="B251" s="5" t="s">
        <v>1315</v>
      </c>
      <c r="C251" s="6">
        <v>27.74</v>
      </c>
      <c r="D251" s="7">
        <f>SUM($C$26:C251)</f>
        <v>16270.529999999999</v>
      </c>
      <c r="E251" s="8">
        <f t="shared" si="3"/>
        <v>0.94544215267899523</v>
      </c>
      <c r="F251" s="31">
        <f>ROWS($A$26:A251)/COUNTA($A$26:$A$312)</f>
        <v>0.78745644599303133</v>
      </c>
    </row>
    <row r="252" spans="1:6">
      <c r="A252" s="30" t="s">
        <v>736</v>
      </c>
      <c r="B252" s="5" t="s">
        <v>1315</v>
      </c>
      <c r="C252" s="6">
        <v>27.5</v>
      </c>
      <c r="D252" s="7">
        <f>SUM($C$26:C252)</f>
        <v>16298.029999999999</v>
      </c>
      <c r="E252" s="8">
        <f t="shared" si="3"/>
        <v>0.9470401128682866</v>
      </c>
      <c r="F252" s="31">
        <f>ROWS($A$26:A252)/COUNTA($A$26:$A$312)</f>
        <v>0.7909407665505227</v>
      </c>
    </row>
    <row r="253" spans="1:6">
      <c r="A253" s="30" t="s">
        <v>665</v>
      </c>
      <c r="B253" s="5" t="s">
        <v>1315</v>
      </c>
      <c r="C253" s="6">
        <v>27.37</v>
      </c>
      <c r="D253" s="7">
        <f>SUM($C$26:C253)</f>
        <v>16325.4</v>
      </c>
      <c r="E253" s="8">
        <f t="shared" si="3"/>
        <v>0.94863051906395601</v>
      </c>
      <c r="F253" s="31">
        <f>ROWS($A$26:A253)/COUNTA($A$26:$A$312)</f>
        <v>0.79442508710801396</v>
      </c>
    </row>
    <row r="254" spans="1:6">
      <c r="A254" s="30" t="s">
        <v>307</v>
      </c>
      <c r="B254" s="5" t="s">
        <v>1315</v>
      </c>
      <c r="C254" s="6">
        <v>26.84</v>
      </c>
      <c r="D254" s="7">
        <f>SUM($C$26:C254)</f>
        <v>16352.24</v>
      </c>
      <c r="E254" s="8">
        <f t="shared" si="3"/>
        <v>0.95019012820870452</v>
      </c>
      <c r="F254" s="31">
        <f>ROWS($A$26:A254)/COUNTA($A$26:$A$312)</f>
        <v>0.79790940766550522</v>
      </c>
    </row>
    <row r="255" spans="1:6">
      <c r="A255" s="30" t="s">
        <v>446</v>
      </c>
      <c r="B255" s="5" t="s">
        <v>1316</v>
      </c>
      <c r="C255" s="6">
        <v>26.67</v>
      </c>
      <c r="D255" s="7">
        <f>SUM($C$26:C255)</f>
        <v>16378.91</v>
      </c>
      <c r="E255" s="8">
        <f t="shared" si="3"/>
        <v>0.95173985905410097</v>
      </c>
      <c r="F255" s="31">
        <f>ROWS($A$26:A255)/COUNTA($A$26:$A$312)</f>
        <v>0.80139372822299648</v>
      </c>
    </row>
    <row r="256" spans="1:6">
      <c r="A256" s="30" t="s">
        <v>114</v>
      </c>
      <c r="B256" s="5" t="s">
        <v>1316</v>
      </c>
      <c r="C256" s="6">
        <v>24.72</v>
      </c>
      <c r="D256" s="7">
        <f>SUM($C$26:C256)</f>
        <v>16403.63</v>
      </c>
      <c r="E256" s="8">
        <f t="shared" si="3"/>
        <v>0.95317627999516596</v>
      </c>
      <c r="F256" s="31">
        <f>ROWS($A$26:A256)/COUNTA($A$26:$A$312)</f>
        <v>0.80487804878048785</v>
      </c>
    </row>
    <row r="257" spans="1:6">
      <c r="A257" s="30" t="s">
        <v>568</v>
      </c>
      <c r="B257" s="5" t="s">
        <v>1315</v>
      </c>
      <c r="C257" s="6">
        <v>24.63</v>
      </c>
      <c r="D257" s="7">
        <f>SUM($C$26:C257)</f>
        <v>16428.260000000002</v>
      </c>
      <c r="E257" s="8">
        <f t="shared" si="3"/>
        <v>0.95460747124833867</v>
      </c>
      <c r="F257" s="31">
        <f>ROWS($A$26:A257)/COUNTA($A$26:$A$312)</f>
        <v>0.80836236933797911</v>
      </c>
    </row>
    <row r="258" spans="1:6">
      <c r="A258" s="30" t="s">
        <v>652</v>
      </c>
      <c r="B258" s="5" t="s">
        <v>1316</v>
      </c>
      <c r="C258" s="6">
        <v>23.78</v>
      </c>
      <c r="D258" s="7">
        <f>SUM($C$26:C258)</f>
        <v>16452.04</v>
      </c>
      <c r="E258" s="8">
        <f t="shared" si="3"/>
        <v>0.9559892710047514</v>
      </c>
      <c r="F258" s="31">
        <f>ROWS($A$26:A258)/COUNTA($A$26:$A$312)</f>
        <v>0.81184668989547037</v>
      </c>
    </row>
    <row r="259" spans="1:6">
      <c r="A259" s="30" t="s">
        <v>215</v>
      </c>
      <c r="B259" s="5" t="s">
        <v>1315</v>
      </c>
      <c r="C259" s="6">
        <v>23.58</v>
      </c>
      <c r="D259" s="7">
        <f>SUM($C$26:C259)</f>
        <v>16475.620000000003</v>
      </c>
      <c r="E259" s="8">
        <f t="shared" si="3"/>
        <v>0.95735944923251493</v>
      </c>
      <c r="F259" s="31">
        <f>ROWS($A$26:A259)/COUNTA($A$26:$A$312)</f>
        <v>0.81533101045296164</v>
      </c>
    </row>
    <row r="260" spans="1:6">
      <c r="A260" s="30" t="s">
        <v>145</v>
      </c>
      <c r="B260" s="5" t="s">
        <v>1315</v>
      </c>
      <c r="C260" s="6">
        <v>23.36</v>
      </c>
      <c r="D260" s="7">
        <f>SUM($C$26:C260)</f>
        <v>16498.980000000003</v>
      </c>
      <c r="E260" s="8">
        <f t="shared" si="3"/>
        <v>0.95871684377876398</v>
      </c>
      <c r="F260" s="31">
        <f>ROWS($A$26:A260)/COUNTA($A$26:$A$312)</f>
        <v>0.81881533101045301</v>
      </c>
    </row>
    <row r="261" spans="1:6">
      <c r="A261" s="30" t="s">
        <v>770</v>
      </c>
      <c r="B261" s="5" t="s">
        <v>1315</v>
      </c>
      <c r="C261" s="6">
        <v>23.24</v>
      </c>
      <c r="D261" s="7">
        <f>SUM($C$26:C261)</f>
        <v>16522.220000000005</v>
      </c>
      <c r="E261" s="8">
        <f t="shared" si="3"/>
        <v>0.96006726540782339</v>
      </c>
      <c r="F261" s="31">
        <f>ROWS($A$26:A261)/COUNTA($A$26:$A$312)</f>
        <v>0.82229965156794427</v>
      </c>
    </row>
    <row r="262" spans="1:6">
      <c r="A262" s="30" t="s">
        <v>1012</v>
      </c>
      <c r="B262" s="5" t="s">
        <v>1316</v>
      </c>
      <c r="C262" s="6">
        <v>22.57</v>
      </c>
      <c r="D262" s="7">
        <f>SUM($C$26:C262)</f>
        <v>16544.790000000005</v>
      </c>
      <c r="E262" s="8">
        <f t="shared" si="3"/>
        <v>0.96137875491590741</v>
      </c>
      <c r="F262" s="31">
        <f>ROWS($A$26:A262)/COUNTA($A$26:$A$312)</f>
        <v>0.82578397212543553</v>
      </c>
    </row>
    <row r="263" spans="1:6">
      <c r="A263" s="30" t="s">
        <v>606</v>
      </c>
      <c r="B263" s="5" t="s">
        <v>1315</v>
      </c>
      <c r="C263" s="6">
        <v>22.2</v>
      </c>
      <c r="D263" s="7">
        <f>SUM($C$26:C263)</f>
        <v>16566.990000000005</v>
      </c>
      <c r="E263" s="8">
        <f t="shared" si="3"/>
        <v>0.96266874459598994</v>
      </c>
      <c r="F263" s="31">
        <f>ROWS($A$26:A263)/COUNTA($A$26:$A$312)</f>
        <v>0.82926829268292679</v>
      </c>
    </row>
    <row r="264" spans="1:6">
      <c r="A264" s="30" t="s">
        <v>405</v>
      </c>
      <c r="B264" s="5" t="s">
        <v>1315</v>
      </c>
      <c r="C264" s="6">
        <v>22.16</v>
      </c>
      <c r="D264" s="7">
        <f>SUM($C$26:C264)</f>
        <v>16589.150000000005</v>
      </c>
      <c r="E264" s="8">
        <f t="shared" si="3"/>
        <v>0.9639564099703426</v>
      </c>
      <c r="F264" s="31">
        <f>ROWS($A$26:A264)/COUNTA($A$26:$A$312)</f>
        <v>0.83275261324041816</v>
      </c>
    </row>
    <row r="265" spans="1:6">
      <c r="A265" s="30" t="s">
        <v>370</v>
      </c>
      <c r="B265" s="5" t="s">
        <v>1315</v>
      </c>
      <c r="C265" s="6">
        <v>21.91</v>
      </c>
      <c r="D265" s="7">
        <f>SUM($C$26:C265)</f>
        <v>16611.060000000005</v>
      </c>
      <c r="E265" s="8">
        <f t="shared" si="3"/>
        <v>0.96522954843388353</v>
      </c>
      <c r="F265" s="31">
        <f>ROWS($A$26:A265)/COUNTA($A$26:$A$312)</f>
        <v>0.83623693379790942</v>
      </c>
    </row>
    <row r="266" spans="1:6">
      <c r="A266" s="30" t="s">
        <v>385</v>
      </c>
      <c r="B266" s="5" t="s">
        <v>1315</v>
      </c>
      <c r="C266" s="6">
        <v>21.74</v>
      </c>
      <c r="D266" s="7">
        <f>SUM($C$26:C266)</f>
        <v>16632.800000000007</v>
      </c>
      <c r="E266" s="8">
        <f t="shared" si="3"/>
        <v>0.96649280859807263</v>
      </c>
      <c r="F266" s="31">
        <f>ROWS($A$26:A266)/COUNTA($A$26:$A$312)</f>
        <v>0.83972125435540068</v>
      </c>
    </row>
    <row r="267" spans="1:6">
      <c r="A267" s="30" t="s">
        <v>305</v>
      </c>
      <c r="B267" s="5" t="s">
        <v>1316</v>
      </c>
      <c r="C267" s="6">
        <v>21.21</v>
      </c>
      <c r="D267" s="7">
        <f>SUM($C$26:C267)</f>
        <v>16654.010000000006</v>
      </c>
      <c r="E267" s="8">
        <f t="shared" si="3"/>
        <v>0.9677252717113406</v>
      </c>
      <c r="F267" s="31">
        <f>ROWS($A$26:A267)/COUNTA($A$26:$A$312)</f>
        <v>0.84320557491289194</v>
      </c>
    </row>
    <row r="268" spans="1:6">
      <c r="A268" s="30" t="s">
        <v>143</v>
      </c>
      <c r="B268" s="5" t="s">
        <v>1315</v>
      </c>
      <c r="C268" s="6">
        <v>21.06</v>
      </c>
      <c r="D268" s="7">
        <f>SUM($C$26:C268)</f>
        <v>16675.070000000007</v>
      </c>
      <c r="E268" s="8">
        <f t="shared" si="3"/>
        <v>0.96894901867812178</v>
      </c>
      <c r="F268" s="31">
        <f>ROWS($A$26:A268)/COUNTA($A$26:$A$312)</f>
        <v>0.84668989547038331</v>
      </c>
    </row>
    <row r="269" spans="1:6">
      <c r="A269" s="30" t="s">
        <v>836</v>
      </c>
      <c r="B269" s="5" t="s">
        <v>1316</v>
      </c>
      <c r="C269" s="6">
        <v>20.82</v>
      </c>
      <c r="D269" s="7">
        <f>SUM($C$26:C269)</f>
        <v>16695.890000000007</v>
      </c>
      <c r="E269" s="8">
        <f t="shared" si="3"/>
        <v>0.97015881981052343</v>
      </c>
      <c r="F269" s="31">
        <f>ROWS($A$26:A269)/COUNTA($A$26:$A$312)</f>
        <v>0.85017421602787457</v>
      </c>
    </row>
    <row r="270" spans="1:6">
      <c r="A270" s="30" t="s">
        <v>811</v>
      </c>
      <c r="B270" s="5" t="s">
        <v>1315</v>
      </c>
      <c r="C270" s="6">
        <v>20.81</v>
      </c>
      <c r="D270" s="7">
        <f>SUM($C$26:C270)</f>
        <v>16716.700000000008</v>
      </c>
      <c r="E270" s="8">
        <f t="shared" si="3"/>
        <v>0.97136803986649278</v>
      </c>
      <c r="F270" s="31">
        <f>ROWS($A$26:A270)/COUNTA($A$26:$A$312)</f>
        <v>0.85365853658536583</v>
      </c>
    </row>
    <row r="271" spans="1:6">
      <c r="A271" s="30" t="s">
        <v>1122</v>
      </c>
      <c r="B271" s="5" t="s">
        <v>1315</v>
      </c>
      <c r="C271" s="6">
        <v>20.420000000000002</v>
      </c>
      <c r="D271" s="7">
        <f>SUM($C$26:C271)</f>
        <v>16737.120000000006</v>
      </c>
      <c r="E271" s="8">
        <f t="shared" si="3"/>
        <v>0.97255459794159571</v>
      </c>
      <c r="F271" s="31">
        <f>ROWS($A$26:A271)/COUNTA($A$26:$A$312)</f>
        <v>0.8571428571428571</v>
      </c>
    </row>
    <row r="272" spans="1:6">
      <c r="A272" s="30" t="s">
        <v>323</v>
      </c>
      <c r="B272" s="5" t="s">
        <v>1315</v>
      </c>
      <c r="C272" s="6">
        <v>19.809999999999999</v>
      </c>
      <c r="D272" s="7">
        <f>SUM($C$26:C272)</f>
        <v>16756.930000000008</v>
      </c>
      <c r="E272" s="8">
        <f t="shared" si="3"/>
        <v>0.97370571035431808</v>
      </c>
      <c r="F272" s="31">
        <f>ROWS($A$26:A272)/COUNTA($A$26:$A$312)</f>
        <v>0.86062717770034847</v>
      </c>
    </row>
    <row r="273" spans="1:6">
      <c r="A273" s="30" t="s">
        <v>723</v>
      </c>
      <c r="B273" s="5" t="s">
        <v>1315</v>
      </c>
      <c r="C273" s="6">
        <v>19.489999999999998</v>
      </c>
      <c r="D273" s="7">
        <f>SUM($C$26:C273)</f>
        <v>16776.420000000009</v>
      </c>
      <c r="E273" s="8">
        <f t="shared" si="3"/>
        <v>0.97483822832120148</v>
      </c>
      <c r="F273" s="31">
        <f>ROWS($A$26:A273)/COUNTA($A$26:$A$312)</f>
        <v>0.86411149825783973</v>
      </c>
    </row>
    <row r="274" spans="1:6">
      <c r="A274" s="30" t="s">
        <v>1047</v>
      </c>
      <c r="B274" s="5" t="s">
        <v>1315</v>
      </c>
      <c r="C274" s="6">
        <v>18.39</v>
      </c>
      <c r="D274" s="7">
        <f>SUM($C$26:C274)</f>
        <v>16794.810000000009</v>
      </c>
      <c r="E274" s="8">
        <f t="shared" si="3"/>
        <v>0.97590682788051308</v>
      </c>
      <c r="F274" s="31">
        <f>ROWS($A$26:A274)/COUNTA($A$26:$A$312)</f>
        <v>0.86759581881533099</v>
      </c>
    </row>
    <row r="275" spans="1:6">
      <c r="A275" s="30" t="s">
        <v>752</v>
      </c>
      <c r="B275" s="5" t="s">
        <v>1315</v>
      </c>
      <c r="C275" s="6">
        <v>17.36</v>
      </c>
      <c r="D275" s="7">
        <f>SUM($C$26:C275)</f>
        <v>16812.170000000009</v>
      </c>
      <c r="E275" s="8">
        <f t="shared" si="3"/>
        <v>0.97691557656728034</v>
      </c>
      <c r="F275" s="31">
        <f>ROWS($A$26:A275)/COUNTA($A$26:$A$312)</f>
        <v>0.87108013937282225</v>
      </c>
    </row>
    <row r="276" spans="1:6">
      <c r="A276" s="30" t="s">
        <v>296</v>
      </c>
      <c r="B276" s="5" t="s">
        <v>1312</v>
      </c>
      <c r="C276" s="6">
        <v>17.079999999999998</v>
      </c>
      <c r="D276" s="7">
        <f>SUM($C$26:C276)</f>
        <v>16829.250000000011</v>
      </c>
      <c r="E276" s="8">
        <f t="shared" si="3"/>
        <v>0.97790805511393863</v>
      </c>
      <c r="F276" s="31">
        <f>ROWS($A$26:A276)/COUNTA($A$26:$A$312)</f>
        <v>0.87456445993031362</v>
      </c>
    </row>
    <row r="277" spans="1:6">
      <c r="A277" s="30" t="s">
        <v>902</v>
      </c>
      <c r="B277" s="5" t="s">
        <v>1315</v>
      </c>
      <c r="C277" s="6">
        <v>16.66</v>
      </c>
      <c r="D277" s="7">
        <f>SUM($C$26:C277)</f>
        <v>16845.910000000011</v>
      </c>
      <c r="E277" s="8">
        <f t="shared" si="3"/>
        <v>0.97887612845043293</v>
      </c>
      <c r="F277" s="31">
        <f>ROWS($A$26:A277)/COUNTA($A$26:$A$312)</f>
        <v>0.87804878048780488</v>
      </c>
    </row>
    <row r="278" spans="1:6">
      <c r="A278" s="30" t="s">
        <v>774</v>
      </c>
      <c r="B278" s="5" t="s">
        <v>1315</v>
      </c>
      <c r="C278" s="6">
        <v>16.14</v>
      </c>
      <c r="D278" s="7">
        <f>SUM($C$26:C278)</f>
        <v>16862.05000000001</v>
      </c>
      <c r="E278" s="8">
        <f t="shared" si="3"/>
        <v>0.97981398581243895</v>
      </c>
      <c r="F278" s="31">
        <f>ROWS($A$26:A278)/COUNTA($A$26:$A$312)</f>
        <v>0.88153310104529614</v>
      </c>
    </row>
    <row r="279" spans="1:6">
      <c r="A279" s="30" t="s">
        <v>313</v>
      </c>
      <c r="B279" s="5" t="s">
        <v>1315</v>
      </c>
      <c r="C279" s="6">
        <v>16.04</v>
      </c>
      <c r="D279" s="7">
        <f>SUM($C$26:C279)</f>
        <v>16878.090000000011</v>
      </c>
      <c r="E279" s="8">
        <f t="shared" si="3"/>
        <v>0.98074603241012026</v>
      </c>
      <c r="F279" s="31">
        <f>ROWS($A$26:A279)/COUNTA($A$26:$A$312)</f>
        <v>0.8850174216027874</v>
      </c>
    </row>
    <row r="280" spans="1:6">
      <c r="A280" s="30" t="s">
        <v>471</v>
      </c>
      <c r="B280" s="5" t="s">
        <v>1315</v>
      </c>
      <c r="C280" s="6">
        <v>15.89</v>
      </c>
      <c r="D280" s="7">
        <f>SUM($C$26:C280)</f>
        <v>16893.98000000001</v>
      </c>
      <c r="E280" s="8">
        <f t="shared" si="3"/>
        <v>0.98166936286131445</v>
      </c>
      <c r="F280" s="31">
        <f>ROWS($A$26:A280)/COUNTA($A$26:$A$312)</f>
        <v>0.88850174216027877</v>
      </c>
    </row>
    <row r="281" spans="1:6">
      <c r="A281" s="30" t="s">
        <v>20</v>
      </c>
      <c r="B281" s="5" t="s">
        <v>1312</v>
      </c>
      <c r="C281" s="6">
        <v>15.44</v>
      </c>
      <c r="D281" s="7">
        <f>SUM($C$26:C281)</f>
        <v>16909.420000000009</v>
      </c>
      <c r="E281" s="8">
        <f t="shared" si="3"/>
        <v>0.9825665448730474</v>
      </c>
      <c r="F281" s="31">
        <f>ROWS($A$26:A281)/COUNTA($A$26:$A$312)</f>
        <v>0.89198606271777003</v>
      </c>
    </row>
    <row r="282" spans="1:6">
      <c r="A282" s="30" t="s">
        <v>68</v>
      </c>
      <c r="B282" s="5" t="s">
        <v>1316</v>
      </c>
      <c r="C282" s="6">
        <v>15.41</v>
      </c>
      <c r="D282" s="7">
        <f>SUM($C$26:C282)</f>
        <v>16924.830000000009</v>
      </c>
      <c r="E282" s="8">
        <f t="shared" si="3"/>
        <v>0.9834619836554831</v>
      </c>
      <c r="F282" s="31">
        <f>ROWS($A$26:A282)/COUNTA($A$26:$A$312)</f>
        <v>0.89547038327526129</v>
      </c>
    </row>
    <row r="283" spans="1:6">
      <c r="A283" s="30" t="s">
        <v>342</v>
      </c>
      <c r="B283" s="5" t="s">
        <v>1315</v>
      </c>
      <c r="C283" s="6">
        <v>14.67</v>
      </c>
      <c r="D283" s="7">
        <f>SUM($C$26:C283)</f>
        <v>16939.500000000007</v>
      </c>
      <c r="E283" s="8">
        <f t="shared" ref="E283:E312" si="4">D283/$D$312</f>
        <v>0.98431442278191594</v>
      </c>
      <c r="F283" s="31">
        <f>ROWS($A$26:A283)/COUNTA($A$26:$A$312)</f>
        <v>0.89895470383275267</v>
      </c>
    </row>
    <row r="284" spans="1:6">
      <c r="A284" s="30" t="s">
        <v>355</v>
      </c>
      <c r="B284" s="5" t="s">
        <v>1315</v>
      </c>
      <c r="C284" s="6">
        <v>14.21</v>
      </c>
      <c r="D284" s="7">
        <f>SUM($C$26:C284)</f>
        <v>16953.710000000006</v>
      </c>
      <c r="E284" s="8">
        <f t="shared" si="4"/>
        <v>0.98514013239245524</v>
      </c>
      <c r="F284" s="31">
        <f>ROWS($A$26:A284)/COUNTA($A$26:$A$312)</f>
        <v>0.90243902439024393</v>
      </c>
    </row>
    <row r="285" spans="1:6">
      <c r="A285" s="30" t="s">
        <v>420</v>
      </c>
      <c r="B285" s="5" t="s">
        <v>1316</v>
      </c>
      <c r="C285" s="6">
        <v>13.86</v>
      </c>
      <c r="D285" s="7">
        <f>SUM($C$26:C285)</f>
        <v>16967.570000000007</v>
      </c>
      <c r="E285" s="8">
        <f t="shared" si="4"/>
        <v>0.98594550432785821</v>
      </c>
      <c r="F285" s="31">
        <f>ROWS($A$26:A285)/COUNTA($A$26:$A$312)</f>
        <v>0.90592334494773519</v>
      </c>
    </row>
    <row r="286" spans="1:6">
      <c r="A286" s="30" t="s">
        <v>1246</v>
      </c>
      <c r="B286" s="5" t="s">
        <v>1316</v>
      </c>
      <c r="C286" s="6">
        <v>13.79</v>
      </c>
      <c r="D286" s="7">
        <f>SUM($C$26:C286)</f>
        <v>16981.360000000008</v>
      </c>
      <c r="E286" s="8">
        <f t="shared" si="4"/>
        <v>0.98674680872823384</v>
      </c>
      <c r="F286" s="31">
        <f>ROWS($A$26:A286)/COUNTA($A$26:$A$312)</f>
        <v>0.90940766550522645</v>
      </c>
    </row>
    <row r="287" spans="1:6">
      <c r="A287" s="30" t="s">
        <v>1049</v>
      </c>
      <c r="B287" s="5" t="s">
        <v>1316</v>
      </c>
      <c r="C287" s="6">
        <v>12.43</v>
      </c>
      <c r="D287" s="7">
        <f>SUM($C$26:C287)</f>
        <v>16993.790000000008</v>
      </c>
      <c r="E287" s="8">
        <f t="shared" si="4"/>
        <v>0.98746908673379363</v>
      </c>
      <c r="F287" s="31">
        <f>ROWS($A$26:A287)/COUNTA($A$26:$A$312)</f>
        <v>0.91289198606271782</v>
      </c>
    </row>
    <row r="288" spans="1:6">
      <c r="A288" s="30" t="s">
        <v>791</v>
      </c>
      <c r="B288" s="5" t="s">
        <v>1312</v>
      </c>
      <c r="C288" s="6">
        <v>12.22</v>
      </c>
      <c r="D288" s="7">
        <f>SUM($C$26:C288)</f>
        <v>17006.010000000009</v>
      </c>
      <c r="E288" s="8">
        <f t="shared" si="4"/>
        <v>0.98817916213427148</v>
      </c>
      <c r="F288" s="31">
        <f>ROWS($A$26:A288)/COUNTA($A$26:$A$312)</f>
        <v>0.91637630662020908</v>
      </c>
    </row>
    <row r="289" spans="1:6">
      <c r="A289" s="30" t="s">
        <v>1210</v>
      </c>
      <c r="B289" s="5" t="s">
        <v>1312</v>
      </c>
      <c r="C289" s="6">
        <v>12.17</v>
      </c>
      <c r="D289" s="7">
        <f>SUM($C$26:C289)</f>
        <v>17018.180000000008</v>
      </c>
      <c r="E289" s="8">
        <f t="shared" si="4"/>
        <v>0.98888633215258692</v>
      </c>
      <c r="F289" s="31">
        <f>ROWS($A$26:A289)/COUNTA($A$26:$A$312)</f>
        <v>0.91986062717770034</v>
      </c>
    </row>
    <row r="290" spans="1:6">
      <c r="A290" s="30" t="s">
        <v>275</v>
      </c>
      <c r="B290" s="5" t="s">
        <v>1312</v>
      </c>
      <c r="C290" s="6">
        <v>12.12</v>
      </c>
      <c r="D290" s="7">
        <f>SUM($C$26:C290)</f>
        <v>17030.300000000007</v>
      </c>
      <c r="E290" s="8">
        <f t="shared" si="4"/>
        <v>0.98959059678874006</v>
      </c>
      <c r="F290" s="31">
        <f>ROWS($A$26:A290)/COUNTA($A$26:$A$312)</f>
        <v>0.9233449477351916</v>
      </c>
    </row>
    <row r="291" spans="1:6">
      <c r="A291" s="30" t="s">
        <v>351</v>
      </c>
      <c r="B291" s="5" t="s">
        <v>1315</v>
      </c>
      <c r="C291" s="6">
        <v>11.96</v>
      </c>
      <c r="D291" s="7">
        <f>SUM($C$26:C291)</f>
        <v>17042.260000000006</v>
      </c>
      <c r="E291" s="8">
        <f t="shared" si="4"/>
        <v>0.99028556420197367</v>
      </c>
      <c r="F291" s="31">
        <f>ROWS($A$26:A291)/COUNTA($A$26:$A$312)</f>
        <v>0.92682926829268297</v>
      </c>
    </row>
    <row r="292" spans="1:6">
      <c r="A292" s="30" t="s">
        <v>353</v>
      </c>
      <c r="B292" s="5" t="s">
        <v>1312</v>
      </c>
      <c r="C292" s="6">
        <v>11.89</v>
      </c>
      <c r="D292" s="7">
        <f>SUM($C$26:C292)</f>
        <v>17054.150000000005</v>
      </c>
      <c r="E292" s="8">
        <f t="shared" si="4"/>
        <v>0.99097646408018003</v>
      </c>
      <c r="F292" s="31">
        <f>ROWS($A$26:A292)/COUNTA($A$26:$A$312)</f>
        <v>0.93031358885017423</v>
      </c>
    </row>
    <row r="293" spans="1:6">
      <c r="A293" s="30" t="s">
        <v>41</v>
      </c>
      <c r="B293" s="5" t="s">
        <v>1312</v>
      </c>
      <c r="C293" s="6">
        <v>11.82</v>
      </c>
      <c r="D293" s="7">
        <f>SUM($C$26:C293)</f>
        <v>17065.970000000005</v>
      </c>
      <c r="E293" s="8">
        <f t="shared" si="4"/>
        <v>0.99166329642335915</v>
      </c>
      <c r="F293" s="31">
        <f>ROWS($A$26:A293)/COUNTA($A$26:$A$312)</f>
        <v>0.93379790940766549</v>
      </c>
    </row>
    <row r="294" spans="1:6">
      <c r="A294" s="30" t="s">
        <v>391</v>
      </c>
      <c r="B294" s="5" t="s">
        <v>1315</v>
      </c>
      <c r="C294" s="6">
        <v>11.81</v>
      </c>
      <c r="D294" s="7">
        <f>SUM($C$26:C294)</f>
        <v>17077.780000000006</v>
      </c>
      <c r="E294" s="8">
        <f t="shared" si="4"/>
        <v>0.99234954769010586</v>
      </c>
      <c r="F294" s="31">
        <f>ROWS($A$26:A294)/COUNTA($A$26:$A$312)</f>
        <v>0.93728222996515675</v>
      </c>
    </row>
    <row r="295" spans="1:6">
      <c r="A295" s="30" t="s">
        <v>422</v>
      </c>
      <c r="B295" s="5" t="s">
        <v>1315</v>
      </c>
      <c r="C295" s="6">
        <v>11.09</v>
      </c>
      <c r="D295" s="7">
        <f>SUM($C$26:C295)</f>
        <v>17088.870000000006</v>
      </c>
      <c r="E295" s="8">
        <f t="shared" si="4"/>
        <v>0.99299396145371466</v>
      </c>
      <c r="F295" s="31">
        <f>ROWS($A$26:A295)/COUNTA($A$26:$A$312)</f>
        <v>0.94076655052264813</v>
      </c>
    </row>
    <row r="296" spans="1:6">
      <c r="A296" s="30" t="s">
        <v>754</v>
      </c>
      <c r="B296" s="5" t="s">
        <v>1315</v>
      </c>
      <c r="C296" s="6">
        <v>10.48</v>
      </c>
      <c r="D296" s="7">
        <f>SUM($C$26:C296)</f>
        <v>17099.350000000006</v>
      </c>
      <c r="E296" s="8">
        <f t="shared" si="4"/>
        <v>0.99360292955494278</v>
      </c>
      <c r="F296" s="31">
        <f>ROWS($A$26:A296)/COUNTA($A$26:$A$312)</f>
        <v>0.94425087108013939</v>
      </c>
    </row>
    <row r="297" spans="1:6">
      <c r="A297" s="30" t="s">
        <v>565</v>
      </c>
      <c r="B297" s="5" t="s">
        <v>1315</v>
      </c>
      <c r="C297" s="6">
        <v>10.38</v>
      </c>
      <c r="D297" s="7">
        <f>SUM($C$26:C297)</f>
        <v>17109.730000000007</v>
      </c>
      <c r="E297" s="8">
        <f t="shared" si="4"/>
        <v>0.99420608689184631</v>
      </c>
      <c r="F297" s="31">
        <f>ROWS($A$26:A297)/COUNTA($A$26:$A$312)</f>
        <v>0.94773519163763065</v>
      </c>
    </row>
    <row r="298" spans="1:6">
      <c r="A298" s="30" t="s">
        <v>1280</v>
      </c>
      <c r="B298" s="5" t="s">
        <v>1312</v>
      </c>
      <c r="C298" s="6">
        <v>10.17</v>
      </c>
      <c r="D298" s="7">
        <f>SUM($C$26:C298)</f>
        <v>17119.900000000005</v>
      </c>
      <c r="E298" s="8">
        <f t="shared" si="4"/>
        <v>0.99479704162366778</v>
      </c>
      <c r="F298" s="31">
        <f>ROWS($A$26:A298)/COUNTA($A$26:$A$312)</f>
        <v>0.95121951219512191</v>
      </c>
    </row>
    <row r="299" spans="1:6">
      <c r="A299" s="30" t="s">
        <v>517</v>
      </c>
      <c r="B299" s="5" t="s">
        <v>1315</v>
      </c>
      <c r="C299" s="6">
        <v>9.94</v>
      </c>
      <c r="D299" s="7">
        <f>SUM($C$26:C299)</f>
        <v>17129.840000000004</v>
      </c>
      <c r="E299" s="8">
        <f t="shared" si="4"/>
        <v>0.99537463159754258</v>
      </c>
      <c r="F299" s="31">
        <f>ROWS($A$26:A299)/COUNTA($A$26:$A$312)</f>
        <v>0.95470383275261328</v>
      </c>
    </row>
    <row r="300" spans="1:6">
      <c r="A300" s="30" t="s">
        <v>163</v>
      </c>
      <c r="B300" s="5" t="s">
        <v>1315</v>
      </c>
      <c r="C300" s="6">
        <v>9.69</v>
      </c>
      <c r="D300" s="7">
        <f>SUM($C$26:C300)</f>
        <v>17139.530000000002</v>
      </c>
      <c r="E300" s="8">
        <f t="shared" si="4"/>
        <v>0.99593769466060555</v>
      </c>
      <c r="F300" s="31">
        <f>ROWS($A$26:A300)/COUNTA($A$26:$A$312)</f>
        <v>0.95818815331010454</v>
      </c>
    </row>
    <row r="301" spans="1:6">
      <c r="A301" s="30" t="s">
        <v>784</v>
      </c>
      <c r="B301" s="5" t="s">
        <v>1312</v>
      </c>
      <c r="C301" s="6">
        <v>9.42</v>
      </c>
      <c r="D301" s="7">
        <f>SUM($C$26:C301)</f>
        <v>17148.95</v>
      </c>
      <c r="E301" s="8">
        <f t="shared" si="4"/>
        <v>0.99648506865999176</v>
      </c>
      <c r="F301" s="31">
        <f>ROWS($A$26:A301)/COUNTA($A$26:$A$312)</f>
        <v>0.9616724738675958</v>
      </c>
    </row>
    <row r="302" spans="1:6">
      <c r="A302" s="30" t="s">
        <v>1218</v>
      </c>
      <c r="B302" s="5" t="s">
        <v>1312</v>
      </c>
      <c r="C302" s="6">
        <v>8.8000000000000007</v>
      </c>
      <c r="D302" s="7">
        <f>SUM($C$26:C302)</f>
        <v>17157.75</v>
      </c>
      <c r="E302" s="8">
        <f t="shared" si="4"/>
        <v>0.99699641592056498</v>
      </c>
      <c r="F302" s="31">
        <f>ROWS($A$26:A302)/COUNTA($A$26:$A$312)</f>
        <v>0.96515679442508706</v>
      </c>
    </row>
    <row r="303" spans="1:6">
      <c r="A303" s="30" t="s">
        <v>458</v>
      </c>
      <c r="B303" s="5" t="s">
        <v>1312</v>
      </c>
      <c r="C303" s="6">
        <v>8.01</v>
      </c>
      <c r="D303" s="7">
        <f>SUM($C$26:C303)</f>
        <v>17165.759999999998</v>
      </c>
      <c r="E303" s="8">
        <f t="shared" si="4"/>
        <v>0.99746185814297306</v>
      </c>
      <c r="F303" s="31">
        <f>ROWS($A$26:A303)/COUNTA($A$26:$A$312)</f>
        <v>0.96864111498257843</v>
      </c>
    </row>
    <row r="304" spans="1:6">
      <c r="A304" s="30" t="s">
        <v>843</v>
      </c>
      <c r="B304" s="5" t="s">
        <v>1315</v>
      </c>
      <c r="C304" s="6">
        <v>5.71</v>
      </c>
      <c r="D304" s="7">
        <f>SUM($C$26:C304)</f>
        <v>17171.469999999998</v>
      </c>
      <c r="E304" s="8">
        <f t="shared" si="4"/>
        <v>0.99779365278591325</v>
      </c>
      <c r="F304" s="31">
        <f>ROWS($A$26:A304)/COUNTA($A$26:$A$312)</f>
        <v>0.97212543554006969</v>
      </c>
    </row>
    <row r="305" spans="1:6">
      <c r="A305" s="30" t="s">
        <v>187</v>
      </c>
      <c r="B305" s="5" t="s">
        <v>1315</v>
      </c>
      <c r="C305" s="6">
        <v>5.6</v>
      </c>
      <c r="D305" s="7">
        <f>SUM($C$26:C305)</f>
        <v>17177.069999999996</v>
      </c>
      <c r="E305" s="8">
        <f t="shared" si="4"/>
        <v>0.9981190555880961</v>
      </c>
      <c r="F305" s="31">
        <f>ROWS($A$26:A305)/COUNTA($A$26:$A$312)</f>
        <v>0.97560975609756095</v>
      </c>
    </row>
    <row r="306" spans="1:6">
      <c r="A306" s="30" t="s">
        <v>1180</v>
      </c>
      <c r="B306" s="5" t="s">
        <v>1312</v>
      </c>
      <c r="C306" s="6">
        <v>5.19</v>
      </c>
      <c r="D306" s="7">
        <f>SUM($C$26:C306)</f>
        <v>17182.259999999995</v>
      </c>
      <c r="E306" s="8">
        <f t="shared" si="4"/>
        <v>0.99842063425654781</v>
      </c>
      <c r="F306" s="31">
        <f>ROWS($A$26:A306)/COUNTA($A$26:$A$312)</f>
        <v>0.97909407665505221</v>
      </c>
    </row>
    <row r="307" spans="1:6">
      <c r="A307" s="30" t="s">
        <v>918</v>
      </c>
      <c r="B307" s="5" t="s">
        <v>1315</v>
      </c>
      <c r="C307" s="6">
        <v>5.19</v>
      </c>
      <c r="D307" s="7">
        <f>SUM($C$26:C307)</f>
        <v>17187.449999999993</v>
      </c>
      <c r="E307" s="8">
        <f t="shared" si="4"/>
        <v>0.99872221292499941</v>
      </c>
      <c r="F307" s="31">
        <f>ROWS($A$26:A307)/COUNTA($A$26:$A$312)</f>
        <v>0.98257839721254359</v>
      </c>
    </row>
    <row r="308" spans="1:6">
      <c r="A308" s="30" t="s">
        <v>1065</v>
      </c>
      <c r="B308" s="5" t="s">
        <v>1315</v>
      </c>
      <c r="C308" s="6">
        <v>4.8600000000000003</v>
      </c>
      <c r="D308" s="7">
        <f>SUM($C$26:C308)</f>
        <v>17192.309999999994</v>
      </c>
      <c r="E308" s="8">
        <f t="shared" si="4"/>
        <v>0.99900461607117974</v>
      </c>
      <c r="F308" s="31">
        <f>ROWS($A$26:A308)/COUNTA($A$26:$A$312)</f>
        <v>0.98606271777003485</v>
      </c>
    </row>
    <row r="309" spans="1:6">
      <c r="A309" s="30" t="s">
        <v>952</v>
      </c>
      <c r="B309" s="5" t="s">
        <v>1315</v>
      </c>
      <c r="C309" s="6">
        <v>4.38</v>
      </c>
      <c r="D309" s="7">
        <f>SUM($C$26:C309)</f>
        <v>17196.689999999995</v>
      </c>
      <c r="E309" s="8">
        <f t="shared" si="4"/>
        <v>0.99925912754860147</v>
      </c>
      <c r="F309" s="31">
        <f>ROWS($A$26:A309)/COUNTA($A$26:$A$312)</f>
        <v>0.98954703832752611</v>
      </c>
    </row>
    <row r="310" spans="1:6">
      <c r="A310" s="30" t="s">
        <v>647</v>
      </c>
      <c r="B310" s="5" t="s">
        <v>1312</v>
      </c>
      <c r="C310" s="6">
        <v>4.37</v>
      </c>
      <c r="D310" s="7">
        <f>SUM($C$26:C310)</f>
        <v>17201.059999999994</v>
      </c>
      <c r="E310" s="8">
        <f t="shared" si="4"/>
        <v>0.99951305794959056</v>
      </c>
      <c r="F310" s="31">
        <f>ROWS($A$26:A310)/COUNTA($A$26:$A$312)</f>
        <v>0.99303135888501737</v>
      </c>
    </row>
    <row r="311" spans="1:6">
      <c r="A311" s="30" t="s">
        <v>402</v>
      </c>
      <c r="B311" s="5" t="s">
        <v>1315</v>
      </c>
      <c r="C311" s="6">
        <v>4.26</v>
      </c>
      <c r="D311" s="7">
        <f>SUM($C$26:C311)</f>
        <v>17205.319999999992</v>
      </c>
      <c r="E311" s="8">
        <f t="shared" si="4"/>
        <v>0.99976059650982263</v>
      </c>
      <c r="F311" s="31">
        <f>ROWS($A$26:A311)/COUNTA($A$26:$A$312)</f>
        <v>0.99651567944250874</v>
      </c>
    </row>
    <row r="312" spans="1:6">
      <c r="A312" s="32" t="s">
        <v>415</v>
      </c>
      <c r="B312" s="33" t="s">
        <v>1315</v>
      </c>
      <c r="C312" s="34">
        <v>4.12</v>
      </c>
      <c r="D312" s="35">
        <f>SUM($C$26:C312)</f>
        <v>17209.439999999991</v>
      </c>
      <c r="E312" s="36">
        <f t="shared" si="4"/>
        <v>1</v>
      </c>
      <c r="F312" s="37">
        <f>ROWS($A$26:A312)/COUNTA($A$26:$A$312)</f>
        <v>1</v>
      </c>
    </row>
    <row r="316" spans="1:6">
      <c r="A316">
        <v>6</v>
      </c>
    </row>
    <row r="317" spans="1:6">
      <c r="A317" s="11" t="s">
        <v>1306</v>
      </c>
      <c r="B317" s="13" t="s">
        <v>1327</v>
      </c>
      <c r="D317"/>
    </row>
    <row r="318" spans="1:6">
      <c r="A318" s="12" t="s">
        <v>1312</v>
      </c>
      <c r="B318" s="13">
        <v>271.28317574790975</v>
      </c>
      <c r="D318"/>
    </row>
    <row r="319" spans="1:6">
      <c r="A319" s="12" t="s">
        <v>1313</v>
      </c>
      <c r="B319" s="13">
        <v>34.492507399864486</v>
      </c>
      <c r="D319"/>
    </row>
    <row r="320" spans="1:6">
      <c r="A320" s="12" t="s">
        <v>1314</v>
      </c>
      <c r="B320" s="13">
        <v>65.924201388935501</v>
      </c>
      <c r="D320"/>
    </row>
    <row r="321" spans="1:5">
      <c r="A321" s="12" t="s">
        <v>1315</v>
      </c>
      <c r="B321" s="13">
        <v>157.3978855994618</v>
      </c>
      <c r="D321"/>
    </row>
    <row r="322" spans="1:5">
      <c r="A322" s="12" t="s">
        <v>1316</v>
      </c>
      <c r="B322" s="13">
        <v>103.81309027782436</v>
      </c>
      <c r="D322"/>
    </row>
    <row r="323" spans="1:5">
      <c r="A323" s="12" t="s">
        <v>1310</v>
      </c>
      <c r="B323" s="13">
        <v>97.406199066055152</v>
      </c>
      <c r="D323"/>
    </row>
    <row r="328" spans="1:5">
      <c r="A328">
        <v>7</v>
      </c>
    </row>
    <row r="329" spans="1:5">
      <c r="A329" s="11" t="s">
        <v>1333</v>
      </c>
      <c r="B329" s="12" t="s">
        <v>1311</v>
      </c>
      <c r="C329" s="12" t="s">
        <v>1330</v>
      </c>
      <c r="D329" s="12" t="s">
        <v>1329</v>
      </c>
      <c r="E329" s="12" t="s">
        <v>1318</v>
      </c>
    </row>
    <row r="330" spans="1:5">
      <c r="A330" s="25" t="s">
        <v>1312</v>
      </c>
      <c r="B330" s="13">
        <v>13</v>
      </c>
      <c r="C330" s="13">
        <v>1</v>
      </c>
      <c r="D330" s="13">
        <v>13</v>
      </c>
      <c r="E330" s="14">
        <v>8.0595301183536486E-3</v>
      </c>
    </row>
    <row r="331" spans="1:5">
      <c r="A331" s="25" t="s">
        <v>1313</v>
      </c>
      <c r="B331" s="13">
        <v>61</v>
      </c>
      <c r="C331" s="13">
        <v>5.7704918032786887</v>
      </c>
      <c r="D331" s="13">
        <v>352</v>
      </c>
      <c r="E331" s="14">
        <v>0.39303835569315437</v>
      </c>
    </row>
    <row r="332" spans="1:5">
      <c r="A332" s="25" t="s">
        <v>1314</v>
      </c>
      <c r="B332" s="13">
        <v>75</v>
      </c>
      <c r="C332" s="13">
        <v>4.0666666666666664</v>
      </c>
      <c r="D332" s="13">
        <v>305</v>
      </c>
      <c r="E332" s="14">
        <v>0.30270421350142712</v>
      </c>
    </row>
    <row r="333" spans="1:5">
      <c r="A333" s="25" t="s">
        <v>1315</v>
      </c>
      <c r="B333" s="13">
        <v>57</v>
      </c>
      <c r="C333" s="13">
        <v>1.7719298245614035</v>
      </c>
      <c r="D333" s="13">
        <v>101</v>
      </c>
      <c r="E333" s="14">
        <v>7.8337819243392004E-2</v>
      </c>
    </row>
    <row r="334" spans="1:5">
      <c r="A334" s="25" t="s">
        <v>1316</v>
      </c>
      <c r="B334" s="13">
        <v>81</v>
      </c>
      <c r="C334" s="13">
        <v>2.8271604938271606</v>
      </c>
      <c r="D334" s="13">
        <v>229</v>
      </c>
      <c r="E334" s="14">
        <v>0.21786008144367272</v>
      </c>
    </row>
    <row r="335" spans="1:5">
      <c r="A335" s="25" t="s">
        <v>1310</v>
      </c>
      <c r="B335" s="13">
        <v>287</v>
      </c>
      <c r="C335" s="13">
        <v>3.484320557491289</v>
      </c>
      <c r="D335" s="13">
        <v>1000</v>
      </c>
      <c r="E335" s="14">
        <v>1</v>
      </c>
    </row>
    <row r="340" spans="1:4">
      <c r="A340">
        <v>8</v>
      </c>
    </row>
    <row r="341" spans="1:4">
      <c r="A341" s="11" t="s">
        <v>1333</v>
      </c>
      <c r="B341" s="12" t="s">
        <v>1311</v>
      </c>
      <c r="C341" s="12" t="s">
        <v>1318</v>
      </c>
      <c r="D341" s="12" t="s">
        <v>1331</v>
      </c>
    </row>
    <row r="342" spans="1:4">
      <c r="A342" s="25" t="s">
        <v>1312</v>
      </c>
      <c r="B342" s="13">
        <v>13</v>
      </c>
      <c r="C342" s="13">
        <v>138.69999999999999</v>
      </c>
      <c r="D342" s="15">
        <v>10.669230769230769</v>
      </c>
    </row>
    <row r="343" spans="1:4">
      <c r="A343" s="25" t="s">
        <v>1313</v>
      </c>
      <c r="B343" s="13">
        <v>61</v>
      </c>
      <c r="C343" s="13">
        <v>6763.9699999999984</v>
      </c>
      <c r="D343" s="15">
        <v>110.88475409836063</v>
      </c>
    </row>
    <row r="344" spans="1:4">
      <c r="A344" s="25" t="s">
        <v>1314</v>
      </c>
      <c r="B344" s="13">
        <v>75</v>
      </c>
      <c r="C344" s="13">
        <v>5209.37</v>
      </c>
      <c r="D344" s="15">
        <v>69.45826666666666</v>
      </c>
    </row>
    <row r="345" spans="1:4">
      <c r="A345" s="25" t="s">
        <v>1315</v>
      </c>
      <c r="B345" s="13">
        <v>57</v>
      </c>
      <c r="C345" s="13">
        <v>1348.15</v>
      </c>
      <c r="D345" s="15">
        <v>23.651754385964914</v>
      </c>
    </row>
    <row r="346" spans="1:4">
      <c r="A346" s="25" t="s">
        <v>1316</v>
      </c>
      <c r="B346" s="13">
        <v>81</v>
      </c>
      <c r="C346" s="13">
        <v>3749.2499999999986</v>
      </c>
      <c r="D346" s="15">
        <v>46.287037037037017</v>
      </c>
    </row>
    <row r="347" spans="1:4">
      <c r="A347" s="25" t="s">
        <v>1310</v>
      </c>
      <c r="B347" s="13">
        <v>287</v>
      </c>
      <c r="C347" s="13">
        <v>17209.439999999999</v>
      </c>
      <c r="D347" s="15">
        <v>59.963205574912891</v>
      </c>
    </row>
    <row r="348" spans="1:4">
      <c r="A348" s="12"/>
      <c r="B348" s="13"/>
      <c r="C348" s="13"/>
      <c r="D348" s="15"/>
    </row>
    <row r="349" spans="1:4">
      <c r="A349" s="12"/>
      <c r="B349" s="13"/>
      <c r="C349" s="13"/>
      <c r="D349" s="15"/>
    </row>
    <row r="350" spans="1:4">
      <c r="A350" s="12"/>
      <c r="B350" s="13"/>
      <c r="C350" s="13"/>
      <c r="D350" s="15"/>
    </row>
    <row r="351" spans="1:4">
      <c r="A351" s="12">
        <v>9</v>
      </c>
      <c r="B351" s="13"/>
      <c r="C351" s="13"/>
      <c r="D351" s="15"/>
    </row>
    <row r="352" spans="1:4">
      <c r="A352" s="11" t="s">
        <v>1306</v>
      </c>
      <c r="B352" s="12" t="s">
        <v>1312</v>
      </c>
    </row>
    <row r="354" spans="1:4">
      <c r="A354" s="11" t="s">
        <v>1333</v>
      </c>
      <c r="B354" s="12" t="s">
        <v>1326</v>
      </c>
      <c r="C354" s="12" t="s">
        <v>1328</v>
      </c>
      <c r="D354" s="12" t="s">
        <v>1318</v>
      </c>
    </row>
    <row r="355" spans="1:4">
      <c r="A355" s="25" t="s">
        <v>296</v>
      </c>
      <c r="B355" s="13">
        <v>257.59086805560202</v>
      </c>
      <c r="C355" s="13">
        <v>1</v>
      </c>
      <c r="D355" s="15">
        <v>17.079999999999998</v>
      </c>
    </row>
    <row r="356" spans="1:4">
      <c r="A356" s="25" t="s">
        <v>20</v>
      </c>
      <c r="B356" s="13">
        <v>176.59086805560199</v>
      </c>
      <c r="C356" s="13">
        <v>1</v>
      </c>
      <c r="D356" s="15">
        <v>15.44</v>
      </c>
    </row>
    <row r="357" spans="1:4">
      <c r="A357" s="25" t="s">
        <v>791</v>
      </c>
      <c r="B357" s="13">
        <v>251.59086805560199</v>
      </c>
      <c r="C357" s="13">
        <v>1</v>
      </c>
      <c r="D357" s="15">
        <v>12.22</v>
      </c>
    </row>
    <row r="358" spans="1:4">
      <c r="A358" s="25" t="s">
        <v>1210</v>
      </c>
      <c r="B358" s="13">
        <v>220.59086805560199</v>
      </c>
      <c r="C358" s="13">
        <v>1</v>
      </c>
      <c r="D358" s="15">
        <v>12.17</v>
      </c>
    </row>
    <row r="359" spans="1:4">
      <c r="A359" s="25" t="s">
        <v>275</v>
      </c>
      <c r="B359" s="13">
        <v>329.59086805560202</v>
      </c>
      <c r="C359" s="13">
        <v>1</v>
      </c>
      <c r="D359" s="15">
        <v>12.12</v>
      </c>
    </row>
    <row r="360" spans="1:4">
      <c r="A360" s="25" t="s">
        <v>353</v>
      </c>
      <c r="B360" s="13">
        <v>252.59086805560199</v>
      </c>
      <c r="C360" s="13">
        <v>1</v>
      </c>
      <c r="D360" s="15">
        <v>11.89</v>
      </c>
    </row>
    <row r="361" spans="1:4">
      <c r="A361" s="25" t="s">
        <v>41</v>
      </c>
      <c r="B361" s="13">
        <v>234.59086805560199</v>
      </c>
      <c r="C361" s="13">
        <v>1</v>
      </c>
      <c r="D361" s="15">
        <v>11.82</v>
      </c>
    </row>
    <row r="362" spans="1:4">
      <c r="A362" s="25" t="s">
        <v>1280</v>
      </c>
      <c r="B362" s="13">
        <v>247.59086805560199</v>
      </c>
      <c r="C362" s="13">
        <v>1</v>
      </c>
      <c r="D362" s="15">
        <v>10.17</v>
      </c>
    </row>
    <row r="363" spans="1:4">
      <c r="A363" s="25" t="s">
        <v>784</v>
      </c>
      <c r="B363" s="13">
        <v>272.59086805560202</v>
      </c>
      <c r="C363" s="13">
        <v>1</v>
      </c>
      <c r="D363" s="15">
        <v>9.42</v>
      </c>
    </row>
    <row r="364" spans="1:4">
      <c r="A364" s="25" t="s">
        <v>1218</v>
      </c>
      <c r="B364" s="13">
        <v>256.59086805560202</v>
      </c>
      <c r="C364" s="13">
        <v>1</v>
      </c>
      <c r="D364" s="15">
        <v>8.8000000000000007</v>
      </c>
    </row>
    <row r="365" spans="1:4">
      <c r="A365" s="25" t="s">
        <v>458</v>
      </c>
      <c r="B365" s="13">
        <v>328.59086805560202</v>
      </c>
      <c r="C365" s="13">
        <v>1</v>
      </c>
      <c r="D365" s="15">
        <v>8.01</v>
      </c>
    </row>
    <row r="366" spans="1:4">
      <c r="A366" s="25" t="s">
        <v>1180</v>
      </c>
      <c r="B366" s="13">
        <v>337.59086805560202</v>
      </c>
      <c r="C366" s="13">
        <v>1</v>
      </c>
      <c r="D366" s="15">
        <v>5.19</v>
      </c>
    </row>
    <row r="367" spans="1:4">
      <c r="A367" s="25" t="s">
        <v>647</v>
      </c>
      <c r="B367" s="13">
        <v>360.59086805560202</v>
      </c>
      <c r="C367" s="13">
        <v>1</v>
      </c>
      <c r="D367" s="15">
        <v>4.37</v>
      </c>
    </row>
    <row r="368" spans="1:4">
      <c r="A368" s="25" t="s">
        <v>1310</v>
      </c>
      <c r="B368" s="13">
        <v>3526.6812847228271</v>
      </c>
      <c r="C368" s="13">
        <v>13</v>
      </c>
      <c r="D368" s="15">
        <v>138.69999999999999</v>
      </c>
    </row>
    <row r="372" spans="1:8">
      <c r="A372" s="18" t="s">
        <v>1306</v>
      </c>
      <c r="B372" s="19" t="s">
        <v>1325</v>
      </c>
      <c r="C372" s="19" t="s">
        <v>1317</v>
      </c>
      <c r="D372" s="19" t="s">
        <v>1318</v>
      </c>
      <c r="E372" s="19" t="s">
        <v>1319</v>
      </c>
      <c r="F372" s="20" t="s">
        <v>1331</v>
      </c>
      <c r="G372" s="20" t="s">
        <v>1327</v>
      </c>
      <c r="H372" s="20" t="s">
        <v>1330</v>
      </c>
    </row>
    <row r="373" spans="1:8">
      <c r="A373" s="19" t="s">
        <v>1312</v>
      </c>
      <c r="B373" s="19">
        <v>13</v>
      </c>
      <c r="C373" s="21">
        <v>4.5296167247386762E-2</v>
      </c>
      <c r="D373" s="22">
        <v>138.69999999999999</v>
      </c>
      <c r="E373" s="21">
        <v>8.0595301183536486E-3</v>
      </c>
      <c r="F373" s="23">
        <v>10.669230769230769</v>
      </c>
      <c r="G373" s="24">
        <v>271.28317574790975</v>
      </c>
      <c r="H373" s="24">
        <v>1</v>
      </c>
    </row>
    <row r="374" spans="1:8">
      <c r="A374" s="19" t="s">
        <v>1313</v>
      </c>
      <c r="B374" s="19">
        <v>61</v>
      </c>
      <c r="C374" s="21">
        <v>0.21254355400696864</v>
      </c>
      <c r="D374" s="22">
        <v>6763.9699999999984</v>
      </c>
      <c r="E374" s="21">
        <v>0.39303835569315437</v>
      </c>
      <c r="F374" s="23">
        <v>110.88475409836063</v>
      </c>
      <c r="G374" s="24">
        <v>34.492507399864486</v>
      </c>
      <c r="H374" s="24">
        <v>5.7704918032786887</v>
      </c>
    </row>
    <row r="375" spans="1:8">
      <c r="A375" s="19" t="s">
        <v>1314</v>
      </c>
      <c r="B375" s="19">
        <v>75</v>
      </c>
      <c r="C375" s="21">
        <v>0.26132404181184671</v>
      </c>
      <c r="D375" s="22">
        <v>5209.37</v>
      </c>
      <c r="E375" s="21">
        <v>0.30270421350142712</v>
      </c>
      <c r="F375" s="23">
        <v>69.45826666666666</v>
      </c>
      <c r="G375" s="24">
        <v>65.924201388935501</v>
      </c>
      <c r="H375" s="24">
        <v>4.0666666666666664</v>
      </c>
    </row>
    <row r="376" spans="1:8">
      <c r="A376" s="19" t="s">
        <v>1315</v>
      </c>
      <c r="B376" s="19">
        <v>57</v>
      </c>
      <c r="C376" s="21">
        <v>0.19860627177700349</v>
      </c>
      <c r="D376" s="22">
        <v>1348.15</v>
      </c>
      <c r="E376" s="21">
        <v>7.8337819243392004E-2</v>
      </c>
      <c r="F376" s="23">
        <v>23.651754385964914</v>
      </c>
      <c r="G376" s="24">
        <v>157.3978855994618</v>
      </c>
      <c r="H376" s="24">
        <v>1.7719298245614035</v>
      </c>
    </row>
    <row r="377" spans="1:8">
      <c r="A377" s="19" t="s">
        <v>1316</v>
      </c>
      <c r="B377" s="19">
        <v>81</v>
      </c>
      <c r="C377" s="21">
        <v>0.28222996515679444</v>
      </c>
      <c r="D377" s="22">
        <v>3749.2499999999986</v>
      </c>
      <c r="E377" s="21">
        <v>0.21786008144367272</v>
      </c>
      <c r="F377" s="23">
        <v>46.287037037037017</v>
      </c>
      <c r="G377" s="24">
        <v>103.81309027782436</v>
      </c>
      <c r="H377" s="24">
        <v>2.8271604938271606</v>
      </c>
    </row>
    <row r="378" spans="1:8">
      <c r="A378" s="19" t="s">
        <v>1310</v>
      </c>
      <c r="B378" s="19">
        <v>287</v>
      </c>
      <c r="C378" s="21">
        <v>1</v>
      </c>
      <c r="D378" s="22">
        <v>17209.439999999999</v>
      </c>
      <c r="E378" s="21">
        <v>1</v>
      </c>
      <c r="F378" s="23">
        <v>59.963205574912891</v>
      </c>
      <c r="G378" s="24">
        <v>97.406199066055152</v>
      </c>
      <c r="H378" s="24">
        <v>3.484320557491289</v>
      </c>
    </row>
    <row r="379" spans="1:8">
      <c r="D379"/>
      <c r="F379"/>
    </row>
    <row r="380" spans="1:8">
      <c r="D380"/>
    </row>
    <row r="381" spans="1:8">
      <c r="D381"/>
    </row>
    <row r="382" spans="1:8">
      <c r="D382"/>
    </row>
    <row r="383" spans="1:8">
      <c r="D383"/>
    </row>
    <row r="384" spans="1:8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</sheetData>
  <pageMargins left="0.75" right="0.75" top="1" bottom="1" header="0.5" footer="0.5"/>
  <ignoredErrors>
    <ignoredError sqref="D1:D11 D20:D23 D26:D314 D324:D328 D315:D316 D336:D340 D369:D371 D391:D104857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print_shop_orders</vt:lpstr>
      <vt:lpstr>Business Quest</vt:lpstr>
      <vt:lpstr>table</vt:lpstr>
      <vt:lpstr>pivot1</vt:lpstr>
      <vt:lpstr>pivot2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BLOOMS-user</cp:lastModifiedBy>
  <dcterms:created xsi:type="dcterms:W3CDTF">2026-10-06T09:05:14Z</dcterms:created>
  <dcterms:modified xsi:type="dcterms:W3CDTF">2026-10-06T14:20:31Z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4832D6E5F3FE45A6884F08621EF90263_13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